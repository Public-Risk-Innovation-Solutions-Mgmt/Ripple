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D89331B-E1B7-4B26-BE2B-FF9BAD76C9B9}" xr6:coauthVersionLast="47" xr6:coauthVersionMax="47" xr10:uidLastSave="{00000000-0000-0000-0000-000000000000}"/>
  <bookViews>
    <workbookView xWindow="70425" yWindow="3225" windowWidth="28800" windowHeight="14565" activeTab="1" xr2:uid="{00000000-000D-0000-FFFF-FFFF00000000}"/>
  </bookViews>
  <sheets>
    <sheet name="Pool" sheetId="1" r:id="rId1"/>
    <sheet name="W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2" i="2" l="1"/>
  <c r="I150" i="2"/>
  <c r="I148" i="2"/>
  <c r="I147" i="2"/>
  <c r="I146" i="2"/>
  <c r="I143" i="2"/>
  <c r="I137" i="2"/>
  <c r="I135" i="2"/>
  <c r="I133" i="2"/>
  <c r="I132" i="2"/>
  <c r="I131" i="2"/>
  <c r="I128" i="2"/>
  <c r="I122" i="2"/>
  <c r="I120" i="2"/>
  <c r="I118" i="2"/>
  <c r="I117" i="2"/>
  <c r="I116" i="2"/>
  <c r="I113" i="2"/>
  <c r="I103" i="2"/>
  <c r="I101" i="2"/>
  <c r="I99" i="2"/>
  <c r="I98" i="2"/>
  <c r="I97" i="2"/>
  <c r="I94" i="2"/>
  <c r="I87" i="2"/>
  <c r="I85" i="2"/>
  <c r="I83" i="2"/>
  <c r="I82" i="2"/>
  <c r="I81" i="2"/>
  <c r="I78" i="2"/>
  <c r="I77" i="2"/>
  <c r="I76" i="2"/>
  <c r="I73" i="2"/>
  <c r="I87" i="1"/>
  <c r="I85" i="1"/>
  <c r="I83" i="1"/>
  <c r="I82" i="1"/>
  <c r="I81" i="1"/>
  <c r="I78" i="1"/>
  <c r="I77" i="1"/>
  <c r="I76" i="1"/>
  <c r="I73" i="1"/>
  <c r="I152" i="1"/>
  <c r="I150" i="1"/>
  <c r="I148" i="1"/>
  <c r="I147" i="1"/>
  <c r="I146" i="1"/>
  <c r="I143" i="1"/>
  <c r="I137" i="1"/>
  <c r="I135" i="1"/>
  <c r="I133" i="1"/>
  <c r="I132" i="1"/>
  <c r="I131" i="1"/>
  <c r="I128" i="1"/>
  <c r="I122" i="1"/>
  <c r="I120" i="1"/>
  <c r="I118" i="1"/>
  <c r="I117" i="1"/>
  <c r="I116" i="1"/>
  <c r="I113" i="1"/>
  <c r="I103" i="1"/>
  <c r="I101" i="1"/>
  <c r="I98" i="1"/>
  <c r="I99" i="1"/>
  <c r="I97" i="1"/>
  <c r="I94" i="1"/>
</calcChain>
</file>

<file path=xl/sharedStrings.xml><?xml version="1.0" encoding="utf-8"?>
<sst xmlns="http://schemas.openxmlformats.org/spreadsheetml/2006/main" count="236" uniqueCount="59">
  <si>
    <t xml:space="preserve">Net Income Statement </t>
  </si>
  <si>
    <t xml:space="preserve">Program Year:   </t>
  </si>
  <si>
    <t>Prior</t>
  </si>
  <si>
    <t>Premium</t>
  </si>
  <si>
    <t>Incurred Losses</t>
  </si>
  <si>
    <t>Incurred Loss Adjustment Expense</t>
  </si>
  <si>
    <t>Total Incurred Loss &amp; LAE</t>
  </si>
  <si>
    <t>% of Premium</t>
  </si>
  <si>
    <t>General Admin Expense</t>
  </si>
  <si>
    <t>Additional Admin Expense (risk control)</t>
  </si>
  <si>
    <t>Combined Ratio</t>
  </si>
  <si>
    <t>Net Underwriting Income</t>
  </si>
  <si>
    <t>Assessments/Dividends</t>
  </si>
  <si>
    <t>Investment Income</t>
  </si>
  <si>
    <t>Net Operating Income</t>
  </si>
  <si>
    <t>Operating Ratio</t>
  </si>
  <si>
    <t>Balance Sheet at Year-End</t>
  </si>
  <si>
    <t>Assets</t>
  </si>
  <si>
    <t xml:space="preserve">      Invested</t>
  </si>
  <si>
    <t xml:space="preserve">      Uninvested</t>
  </si>
  <si>
    <t>Liabilities</t>
  </si>
  <si>
    <t xml:space="preserve">      Loss Reserves</t>
  </si>
  <si>
    <t xml:space="preserve">      Loss Expense Reserves</t>
  </si>
  <si>
    <t xml:space="preserve">      Other Liabilities</t>
  </si>
  <si>
    <t>Net Worth</t>
  </si>
  <si>
    <t xml:space="preserve">      Paid in Capital</t>
  </si>
  <si>
    <t xml:space="preserve">      Earned Surplus</t>
  </si>
  <si>
    <t>Premium to Surplus Ratio</t>
  </si>
  <si>
    <t>Reserve to Surplus Ratio</t>
  </si>
  <si>
    <t>Underwriting</t>
  </si>
  <si>
    <t>Written Exposures</t>
  </si>
  <si>
    <t xml:space="preserve">      Change from Prior</t>
  </si>
  <si>
    <t>New Business</t>
  </si>
  <si>
    <t>Renewal Business</t>
  </si>
  <si>
    <t xml:space="preserve">      Retained %</t>
  </si>
  <si>
    <t>Current Rate</t>
  </si>
  <si>
    <t xml:space="preserve">      % Change Over Prior</t>
  </si>
  <si>
    <t>Contributions To The Current Calendar Year - Net</t>
  </si>
  <si>
    <t>Written Premium</t>
  </si>
  <si>
    <t>Previous Reported Claims (Loss &amp; LAE)</t>
  </si>
  <si>
    <t xml:space="preserve">      Payments</t>
  </si>
  <si>
    <t xml:space="preserve">      Reserve Changes</t>
  </si>
  <si>
    <t xml:space="preserve">      Net Reported</t>
  </si>
  <si>
    <t>Newly Arising Claims (Loss &amp; LAE)</t>
  </si>
  <si>
    <t>Change in IBNR</t>
  </si>
  <si>
    <t>Total Net Incurred</t>
  </si>
  <si>
    <t>Program Year Totals - Net</t>
  </si>
  <si>
    <t xml:space="preserve">      % Increase over Prior</t>
  </si>
  <si>
    <t>—</t>
  </si>
  <si>
    <t>Paid Loss &amp; LAE</t>
  </si>
  <si>
    <t>Case Reserves</t>
  </si>
  <si>
    <t>Reported Loss &amp; LAE</t>
  </si>
  <si>
    <t>IBNR Reserves</t>
  </si>
  <si>
    <t>Loss &amp; LAE Ratio</t>
  </si>
  <si>
    <t>Reinsurance Information - Policy Year Totals</t>
  </si>
  <si>
    <t>Gross</t>
  </si>
  <si>
    <t>Ceded</t>
  </si>
  <si>
    <t>Net</t>
  </si>
  <si>
    <t>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</si>
</sst>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-#,##0"/>
    <numFmt numFmtId="165" formatCode="0.0%;[Red]\-0.0%"/>
    <numFmt numFmtId="166" formatCode="0.00;[Red]\-0.00"/>
    <numFmt numFmtId="167" formatCode="#,##0.0;[Red]\-#,##0.0"/>
    <numFmt numFmtId="168" formatCode="0.000;[Red]\-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3" xfId="0" applyNumberFormat="1" applyBorder="1"/>
    <xf numFmtId="165" fontId="0" fillId="0" borderId="0" xfId="0" applyNumberFormat="1"/>
    <xf numFmtId="165" fontId="0" fillId="0" borderId="3" xfId="0" applyNumberFormat="1" applyBorder="1"/>
    <xf numFmtId="0" fontId="0" fillId="0" borderId="4" xfId="0" applyBorder="1"/>
    <xf numFmtId="14" fontId="0" fillId="0" borderId="1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7" fontId="0" fillId="0" borderId="0" xfId="0" applyNumberFormat="1"/>
    <xf numFmtId="167" fontId="0" fillId="0" borderId="3" xfId="0" applyNumberFormat="1" applyBorder="1"/>
    <xf numFmtId="168" fontId="0" fillId="0" borderId="0" xfId="0" applyNumberFormat="1"/>
    <xf numFmtId="168" fontId="0" fillId="0" borderId="3" xfId="0" applyNumberFormat="1" applyBorder="1"/>
    <xf numFmtId="165" fontId="0" fillId="0" borderId="4" xfId="0" applyNumberFormat="1" applyBorder="1"/>
    <xf numFmtId="164" fontId="0" fillId="0" borderId="2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5"/>
  <sheetViews>
    <sheetView topLeftCell="A46" workbookViewId="0">
      <selection activeCell="I155" sqref="I56:I155"/>
    </sheetView>
  </sheetViews>
  <sheetFormatPr defaultRowHeight="14.4" x14ac:dyDescent="0.3"/>
  <cols>
    <col min="1" max="1" width="2" customWidth="1"/>
    <col min="2" max="2" width="42" customWidth="1"/>
    <col min="3" max="9" width="12" customWidth="1"/>
  </cols>
  <sheetData>
    <row r="2" spans="2:8" x14ac:dyDescent="0.3">
      <c r="B2" t="s">
        <v>0</v>
      </c>
    </row>
    <row r="4" spans="2:8" x14ac:dyDescent="0.3">
      <c r="B4" t="s">
        <v>1</v>
      </c>
      <c r="C4" s="1" t="s">
        <v>2</v>
      </c>
      <c r="D4" s="1">
        <v>2026</v>
      </c>
      <c r="E4" s="1">
        <v>2027</v>
      </c>
      <c r="F4" s="1">
        <v>2028</v>
      </c>
      <c r="G4" s="1">
        <v>2029</v>
      </c>
      <c r="H4" s="1">
        <v>2030</v>
      </c>
    </row>
    <row r="5" spans="2:8" x14ac:dyDescent="0.3">
      <c r="B5" s="2"/>
      <c r="C5" s="2"/>
      <c r="D5" s="2"/>
      <c r="E5" s="2"/>
      <c r="F5" s="2"/>
      <c r="G5" s="2"/>
      <c r="H5" s="2"/>
    </row>
    <row r="6" spans="2:8" x14ac:dyDescent="0.3">
      <c r="B6" s="3" t="s">
        <v>3</v>
      </c>
      <c r="C6" s="4">
        <v>125328.3393219197</v>
      </c>
      <c r="D6" s="5">
        <v>29401.091435869545</v>
      </c>
      <c r="E6" s="5">
        <v>31344.673677894923</v>
      </c>
      <c r="F6" s="5">
        <v>30632.367194946255</v>
      </c>
      <c r="G6" s="5">
        <v>33525.784700680997</v>
      </c>
      <c r="H6" s="5">
        <v>35727.201002444068</v>
      </c>
    </row>
    <row r="7" spans="2:8" x14ac:dyDescent="0.3">
      <c r="B7" s="3"/>
      <c r="C7" s="3"/>
      <c r="D7" s="3"/>
      <c r="E7" s="3"/>
      <c r="F7" s="3"/>
      <c r="G7" s="3"/>
      <c r="H7" s="3"/>
    </row>
    <row r="8" spans="2:8" x14ac:dyDescent="0.3">
      <c r="B8" s="3" t="s">
        <v>4</v>
      </c>
      <c r="C8" s="4">
        <v>86948.536031902113</v>
      </c>
      <c r="D8" s="5">
        <v>20158.069532828635</v>
      </c>
      <c r="E8" s="5">
        <v>29819.432340172141</v>
      </c>
      <c r="F8" s="5">
        <v>30935.053597734488</v>
      </c>
      <c r="G8" s="5">
        <v>32313.896792475854</v>
      </c>
      <c r="H8" s="5">
        <v>34844.828245253186</v>
      </c>
    </row>
    <row r="9" spans="2:8" x14ac:dyDescent="0.3">
      <c r="B9" s="3" t="s">
        <v>5</v>
      </c>
      <c r="C9" s="5">
        <v>14495.370629580806</v>
      </c>
      <c r="D9" s="5">
        <v>3089.3960609515589</v>
      </c>
      <c r="E9" s="5">
        <v>5324.9446995515036</v>
      </c>
      <c r="F9" s="5">
        <v>4354.1813301247294</v>
      </c>
      <c r="G9" s="5">
        <v>4218.5382390827099</v>
      </c>
      <c r="H9" s="5">
        <v>5696.9436198673848</v>
      </c>
    </row>
    <row r="10" spans="2:8" x14ac:dyDescent="0.3">
      <c r="B10" s="3" t="s">
        <v>6</v>
      </c>
      <c r="C10" s="5">
        <v>101443.90666148294</v>
      </c>
      <c r="D10" s="5">
        <v>23247.465593780198</v>
      </c>
      <c r="E10" s="5">
        <v>35144.377039723644</v>
      </c>
      <c r="F10" s="5">
        <v>35289.234927859216</v>
      </c>
      <c r="G10" s="5">
        <v>36532.435031558569</v>
      </c>
      <c r="H10" s="5">
        <v>40541.771865120565</v>
      </c>
    </row>
    <row r="11" spans="2:8" x14ac:dyDescent="0.3">
      <c r="B11" s="3" t="s">
        <v>7</v>
      </c>
      <c r="C11" s="6">
        <v>0.809425124519627</v>
      </c>
      <c r="D11" s="7">
        <v>0.79070076852378757</v>
      </c>
      <c r="E11" s="7">
        <v>1.1212232547346113</v>
      </c>
      <c r="F11" s="7">
        <v>1.1520244159805335</v>
      </c>
      <c r="G11" s="7">
        <v>1.0896817287863958</v>
      </c>
      <c r="H11" s="7">
        <v>1.134759251427145</v>
      </c>
    </row>
    <row r="12" spans="2:8" x14ac:dyDescent="0.3">
      <c r="B12" s="3"/>
      <c r="C12" s="3"/>
      <c r="D12" s="3"/>
      <c r="E12" s="3"/>
      <c r="F12" s="3"/>
      <c r="G12" s="3"/>
      <c r="H12" s="3"/>
    </row>
    <row r="13" spans="2:8" x14ac:dyDescent="0.3">
      <c r="B13" s="3" t="s">
        <v>8</v>
      </c>
      <c r="C13" s="4">
        <v>15829.655574513512</v>
      </c>
      <c r="D13" s="5">
        <v>3600.9419208901541</v>
      </c>
      <c r="E13" s="5">
        <v>3800.7398793475541</v>
      </c>
      <c r="F13" s="5">
        <v>3868.370203668379</v>
      </c>
      <c r="G13" s="5">
        <v>4004.8071796377826</v>
      </c>
      <c r="H13" s="5">
        <v>4125.5289589534295</v>
      </c>
    </row>
    <row r="14" spans="2:8" x14ac:dyDescent="0.3">
      <c r="B14" s="3" t="s">
        <v>9</v>
      </c>
      <c r="C14" s="4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2:8" x14ac:dyDescent="0.3">
      <c r="B15" s="3" t="s">
        <v>7</v>
      </c>
      <c r="C15" s="6">
        <v>0.12630547616092869</v>
      </c>
      <c r="D15" s="7">
        <v>0.12247647094138071</v>
      </c>
      <c r="E15" s="7">
        <v>0.12125632311265484</v>
      </c>
      <c r="F15" s="7">
        <v>0.12628375009511458</v>
      </c>
      <c r="G15" s="7">
        <v>0.11945453970407544</v>
      </c>
      <c r="H15" s="7">
        <v>0.11547305255374485</v>
      </c>
    </row>
    <row r="16" spans="2:8" x14ac:dyDescent="0.3">
      <c r="B16" s="3"/>
      <c r="C16" s="3"/>
      <c r="D16" s="3"/>
      <c r="E16" s="3"/>
      <c r="F16" s="3"/>
      <c r="G16" s="3"/>
      <c r="H16" s="3"/>
    </row>
    <row r="17" spans="2:8" x14ac:dyDescent="0.3">
      <c r="B17" s="3" t="s">
        <v>10</v>
      </c>
      <c r="C17" s="6">
        <v>0.93573060068055569</v>
      </c>
      <c r="D17" s="7">
        <v>0.91317723946516827</v>
      </c>
      <c r="E17" s="7">
        <v>1.2424795778472661</v>
      </c>
      <c r="F17" s="7">
        <v>1.2783081660756481</v>
      </c>
      <c r="G17" s="7">
        <v>1.2091362684904712</v>
      </c>
      <c r="H17" s="7">
        <v>1.2502323039808898</v>
      </c>
    </row>
    <row r="18" spans="2:8" x14ac:dyDescent="0.3">
      <c r="B18" s="3"/>
      <c r="C18" s="3"/>
      <c r="D18" s="3"/>
      <c r="E18" s="3"/>
      <c r="F18" s="3"/>
      <c r="G18" s="3"/>
      <c r="H18" s="3"/>
    </row>
    <row r="19" spans="2:8" x14ac:dyDescent="0.3">
      <c r="B19" s="3" t="s">
        <v>11</v>
      </c>
      <c r="C19" s="4">
        <v>8054.7770859232696</v>
      </c>
      <c r="D19" s="5">
        <v>2552.6839211991951</v>
      </c>
      <c r="E19" s="5">
        <v>-7600.4432411762737</v>
      </c>
      <c r="F19" s="5">
        <v>-8525.2379365813395</v>
      </c>
      <c r="G19" s="5">
        <v>-7011.4575105153544</v>
      </c>
      <c r="H19" s="5">
        <v>-8940.099821629934</v>
      </c>
    </row>
    <row r="20" spans="2:8" x14ac:dyDescent="0.3">
      <c r="B20" s="3" t="s">
        <v>7</v>
      </c>
      <c r="C20" s="6">
        <v>6.4269399319444281E-2</v>
      </c>
      <c r="D20" s="7">
        <v>8.6822760534831789E-2</v>
      </c>
      <c r="E20" s="7">
        <v>-0.24247957784726606</v>
      </c>
      <c r="F20" s="7">
        <v>-0.27830816607564818</v>
      </c>
      <c r="G20" s="7">
        <v>-0.20913626849047129</v>
      </c>
      <c r="H20" s="7">
        <v>-0.2502323039808898</v>
      </c>
    </row>
    <row r="21" spans="2:8" x14ac:dyDescent="0.3">
      <c r="B21" s="3"/>
      <c r="C21" s="3"/>
      <c r="D21" s="3"/>
      <c r="E21" s="3"/>
      <c r="F21" s="3"/>
      <c r="G21" s="3"/>
      <c r="H21" s="3"/>
    </row>
    <row r="22" spans="2:8" x14ac:dyDescent="0.3">
      <c r="B22" s="3" t="s">
        <v>12</v>
      </c>
      <c r="C22" s="4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3">
      <c r="B23" s="3"/>
      <c r="C23" s="3"/>
      <c r="D23" s="3"/>
      <c r="E23" s="3"/>
      <c r="F23" s="3"/>
      <c r="G23" s="3"/>
      <c r="H23" s="3"/>
    </row>
    <row r="24" spans="2:8" x14ac:dyDescent="0.3">
      <c r="B24" s="3" t="s">
        <v>13</v>
      </c>
      <c r="C24" s="4">
        <v>5015.5571461484387</v>
      </c>
      <c r="D24" s="5">
        <v>2230.285903958455</v>
      </c>
      <c r="E24" s="5">
        <v>2183.460490347466</v>
      </c>
      <c r="F24" s="5">
        <v>3374.0650261099045</v>
      </c>
      <c r="G24" s="5">
        <v>3650.0959276646249</v>
      </c>
      <c r="H24" s="5">
        <v>3492.403936525624</v>
      </c>
    </row>
    <row r="25" spans="2:8" x14ac:dyDescent="0.3">
      <c r="B25" s="3"/>
      <c r="D25" s="3"/>
      <c r="E25" s="3"/>
      <c r="F25" s="3"/>
      <c r="G25" s="3"/>
      <c r="H25" s="3"/>
    </row>
    <row r="26" spans="2:8" x14ac:dyDescent="0.3">
      <c r="B26" s="3" t="s">
        <v>14</v>
      </c>
      <c r="C26" s="4">
        <v>13070.334232071722</v>
      </c>
      <c r="D26" s="5">
        <v>4782.969825157651</v>
      </c>
      <c r="E26" s="5">
        <v>-5416.9827508288063</v>
      </c>
      <c r="F26" s="5">
        <v>-5151.1729104714286</v>
      </c>
      <c r="G26" s="5">
        <v>-3361.361582850725</v>
      </c>
      <c r="H26" s="5">
        <v>-5447.6958851043082</v>
      </c>
    </row>
    <row r="27" spans="2:8" x14ac:dyDescent="0.3">
      <c r="B27" s="3"/>
      <c r="C27" s="3"/>
      <c r="D27" s="3"/>
      <c r="E27" s="3"/>
      <c r="F27" s="3"/>
      <c r="G27" s="3"/>
      <c r="H27" s="3"/>
    </row>
    <row r="28" spans="2:8" x14ac:dyDescent="0.3">
      <c r="B28" s="3" t="s">
        <v>15</v>
      </c>
      <c r="C28" s="7">
        <v>0.89571126288924063</v>
      </c>
      <c r="D28" s="7">
        <v>0.83731999080406949</v>
      </c>
      <c r="E28" s="7">
        <v>1.1728198802289336</v>
      </c>
      <c r="F28" s="7">
        <v>1.1681611113398145</v>
      </c>
      <c r="G28" s="7">
        <v>1.1002619808264311</v>
      </c>
      <c r="H28" s="7">
        <v>1.1524803436107867</v>
      </c>
    </row>
    <row r="29" spans="2:8" x14ac:dyDescent="0.3">
      <c r="B29" s="8"/>
      <c r="C29" s="8"/>
      <c r="D29" s="8"/>
      <c r="E29" s="8"/>
      <c r="F29" s="8"/>
      <c r="G29" s="8"/>
      <c r="H29" s="8"/>
    </row>
    <row r="33" spans="2:8" x14ac:dyDescent="0.3">
      <c r="B33" t="s">
        <v>16</v>
      </c>
    </row>
    <row r="35" spans="2:8" x14ac:dyDescent="0.3">
      <c r="C35" s="1" t="s">
        <v>2</v>
      </c>
      <c r="D35" s="9">
        <v>46387</v>
      </c>
      <c r="E35" s="9">
        <v>46752</v>
      </c>
      <c r="F35" s="9">
        <v>47118</v>
      </c>
      <c r="G35" s="9">
        <v>47483</v>
      </c>
      <c r="H35" s="9">
        <v>47848</v>
      </c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3" t="s">
        <v>17</v>
      </c>
      <c r="C37" s="4">
        <v>70087.436814154062</v>
      </c>
      <c r="D37" s="5">
        <v>83148.920355292372</v>
      </c>
      <c r="E37" s="5">
        <v>92361.609677566259</v>
      </c>
      <c r="F37" s="5">
        <v>98785.374696046958</v>
      </c>
      <c r="G37" s="5">
        <v>105116.90457425395</v>
      </c>
      <c r="H37" s="5">
        <v>111341.04220099417</v>
      </c>
    </row>
    <row r="38" spans="2:8" x14ac:dyDescent="0.3">
      <c r="B38" s="3" t="s">
        <v>18</v>
      </c>
      <c r="C38" s="4">
        <v>65850.777612178033</v>
      </c>
      <c r="D38" s="5">
        <v>78738.756639911939</v>
      </c>
      <c r="E38" s="5">
        <v>87659.908625882032</v>
      </c>
      <c r="F38" s="5">
        <v>94190.519616805032</v>
      </c>
      <c r="G38" s="5">
        <v>100088.03686915179</v>
      </c>
      <c r="H38" s="5">
        <v>105981.96205062755</v>
      </c>
    </row>
    <row r="39" spans="2:8" x14ac:dyDescent="0.3">
      <c r="B39" s="3" t="s">
        <v>19</v>
      </c>
      <c r="C39" s="4">
        <v>4236.6592019760301</v>
      </c>
      <c r="D39" s="5">
        <v>4410.1637153804313</v>
      </c>
      <c r="E39" s="5">
        <v>4701.7010516842383</v>
      </c>
      <c r="F39" s="5">
        <v>4594.8550792419383</v>
      </c>
      <c r="G39" s="5">
        <v>5028.8677051021486</v>
      </c>
      <c r="H39" s="5">
        <v>5359.0801503666098</v>
      </c>
    </row>
    <row r="40" spans="2:8" x14ac:dyDescent="0.3">
      <c r="B40" s="8"/>
      <c r="C40" s="8"/>
      <c r="D40" s="8"/>
      <c r="E40" s="8"/>
      <c r="F40" s="8"/>
      <c r="G40" s="8"/>
      <c r="H40" s="8"/>
    </row>
    <row r="41" spans="2:8" x14ac:dyDescent="0.3">
      <c r="B41" s="3" t="s">
        <v>20</v>
      </c>
      <c r="C41" s="4">
        <v>54017.102582082356</v>
      </c>
      <c r="D41" s="5">
        <v>62295.616298062996</v>
      </c>
      <c r="E41" s="5">
        <v>76925.28837116569</v>
      </c>
      <c r="F41" s="5">
        <v>88500.226300117851</v>
      </c>
      <c r="G41" s="5">
        <v>98193.117761175628</v>
      </c>
      <c r="H41" s="5">
        <v>109864.95127302007</v>
      </c>
    </row>
    <row r="42" spans="2:8" x14ac:dyDescent="0.3">
      <c r="B42" s="3" t="s">
        <v>21</v>
      </c>
      <c r="C42" s="4">
        <v>46609.991502458412</v>
      </c>
      <c r="D42" s="5">
        <v>53797.074184170931</v>
      </c>
      <c r="E42" s="5">
        <v>65960.332611966893</v>
      </c>
      <c r="F42" s="5">
        <v>76445.758823907745</v>
      </c>
      <c r="G42" s="5">
        <v>85438.998718374452</v>
      </c>
      <c r="H42" s="5">
        <v>95177.039870047243</v>
      </c>
    </row>
    <row r="43" spans="2:8" x14ac:dyDescent="0.3">
      <c r="B43" s="3" t="s">
        <v>22</v>
      </c>
      <c r="C43" s="4">
        <v>7407.1110796239436</v>
      </c>
      <c r="D43" s="5">
        <v>8498.5421138920665</v>
      </c>
      <c r="E43" s="5">
        <v>10964.955759198845</v>
      </c>
      <c r="F43" s="5">
        <v>12054.467476210109</v>
      </c>
      <c r="G43" s="5">
        <v>12754.119042801114</v>
      </c>
      <c r="H43" s="5">
        <v>14687.911402972824</v>
      </c>
    </row>
    <row r="44" spans="2:8" x14ac:dyDescent="0.3">
      <c r="B44" s="3" t="s">
        <v>23</v>
      </c>
      <c r="C44" s="4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3">
      <c r="B45" s="8"/>
      <c r="C45" s="8"/>
      <c r="D45" s="8"/>
      <c r="E45" s="8"/>
      <c r="F45" s="8"/>
      <c r="G45" s="8"/>
      <c r="H45" s="8"/>
    </row>
    <row r="46" spans="2:8" x14ac:dyDescent="0.3">
      <c r="B46" s="3" t="s">
        <v>24</v>
      </c>
      <c r="C46" s="5">
        <v>16070.334232071706</v>
      </c>
      <c r="D46" s="5">
        <v>20853.304057229368</v>
      </c>
      <c r="E46" s="5">
        <v>15436.32130640057</v>
      </c>
      <c r="F46" s="5">
        <v>10285.148395929129</v>
      </c>
      <c r="G46" s="5">
        <v>6923.7868130784027</v>
      </c>
      <c r="H46" s="5">
        <v>1476.0909279740881</v>
      </c>
    </row>
    <row r="47" spans="2:8" x14ac:dyDescent="0.3">
      <c r="B47" s="3" t="s">
        <v>25</v>
      </c>
      <c r="C47" s="5">
        <v>3000</v>
      </c>
      <c r="D47" s="5">
        <v>3000</v>
      </c>
      <c r="E47" s="5">
        <v>3000</v>
      </c>
      <c r="F47" s="5">
        <v>3000</v>
      </c>
      <c r="G47" s="5">
        <v>3000</v>
      </c>
      <c r="H47" s="5">
        <v>3000</v>
      </c>
    </row>
    <row r="48" spans="2:8" x14ac:dyDescent="0.3">
      <c r="B48" s="3" t="s">
        <v>26</v>
      </c>
      <c r="C48" s="5">
        <v>13070.334232071706</v>
      </c>
      <c r="D48" s="5">
        <v>17853.304057229368</v>
      </c>
      <c r="E48" s="5">
        <v>12436.32130640057</v>
      </c>
      <c r="F48" s="5">
        <v>7285.1483959291299</v>
      </c>
      <c r="G48" s="5">
        <v>3923.7868130784027</v>
      </c>
      <c r="H48" s="5">
        <v>-1523.9090720259119</v>
      </c>
    </row>
    <row r="49" spans="2:8" x14ac:dyDescent="0.3">
      <c r="B49" s="8"/>
      <c r="C49" s="8"/>
      <c r="D49" s="8"/>
      <c r="E49" s="8"/>
      <c r="F49" s="8"/>
      <c r="G49" s="8"/>
      <c r="H49" s="8"/>
    </row>
    <row r="50" spans="2:8" x14ac:dyDescent="0.3">
      <c r="B50" s="3" t="s">
        <v>27</v>
      </c>
      <c r="C50" s="10">
        <v>1.7575486777040776</v>
      </c>
      <c r="D50" s="10">
        <v>1.4099008653584011</v>
      </c>
      <c r="E50" s="10">
        <v>2.0305792459047907</v>
      </c>
      <c r="F50" s="10">
        <v>2.9783106685238079</v>
      </c>
      <c r="G50" s="10">
        <v>4.8421168366064995</v>
      </c>
      <c r="H50" s="10">
        <v>24.203929666771337</v>
      </c>
    </row>
    <row r="51" spans="2:8" x14ac:dyDescent="0.3">
      <c r="B51" s="8" t="s">
        <v>28</v>
      </c>
      <c r="C51" s="11">
        <v>3.361293038590321</v>
      </c>
      <c r="D51" s="11">
        <v>2.9873259473462919</v>
      </c>
      <c r="E51" s="11">
        <v>4.9833951266140817</v>
      </c>
      <c r="F51" s="11">
        <v>8.6046620712975148</v>
      </c>
      <c r="G51" s="11">
        <v>14.181996126122442</v>
      </c>
      <c r="H51" s="11">
        <v>74.429663641255488</v>
      </c>
    </row>
    <row r="54" spans="2:8" x14ac:dyDescent="0.3">
      <c r="B54" t="s">
        <v>29</v>
      </c>
    </row>
    <row r="56" spans="2:8" x14ac:dyDescent="0.3">
      <c r="B56" t="s">
        <v>1</v>
      </c>
      <c r="C56" s="1" t="s">
        <v>2</v>
      </c>
      <c r="D56" s="1">
        <v>2026</v>
      </c>
      <c r="E56" s="1">
        <v>2027</v>
      </c>
      <c r="F56" s="1">
        <v>2028</v>
      </c>
      <c r="G56" s="1">
        <v>2029</v>
      </c>
      <c r="H56" s="1">
        <v>2030</v>
      </c>
    </row>
    <row r="57" spans="2:8" x14ac:dyDescent="0.3">
      <c r="B57" s="2"/>
      <c r="C57" s="2"/>
      <c r="D57" s="2"/>
      <c r="E57" s="2"/>
      <c r="F57" s="2"/>
      <c r="G57" s="2"/>
      <c r="H57" s="2"/>
    </row>
    <row r="58" spans="2:8" x14ac:dyDescent="0.3">
      <c r="B58" s="3" t="s">
        <v>30</v>
      </c>
      <c r="C58" s="12">
        <v>898.15</v>
      </c>
      <c r="D58" s="13">
        <v>916.11</v>
      </c>
      <c r="E58" s="13">
        <v>934.44</v>
      </c>
      <c r="F58" s="13">
        <v>934.44</v>
      </c>
      <c r="G58" s="13">
        <v>934.44</v>
      </c>
      <c r="H58" s="13">
        <v>934.44</v>
      </c>
    </row>
    <row r="59" spans="2:8" x14ac:dyDescent="0.3">
      <c r="B59" s="3" t="s">
        <v>31</v>
      </c>
      <c r="C59" s="6">
        <v>1.999909146659995E-2</v>
      </c>
      <c r="D59" s="7">
        <v>1.9996659800701533E-2</v>
      </c>
      <c r="E59" s="7">
        <v>2.0008514261387944E-2</v>
      </c>
      <c r="F59" s="7">
        <v>0</v>
      </c>
      <c r="G59" s="7">
        <v>0</v>
      </c>
      <c r="H59" s="7">
        <v>0</v>
      </c>
    </row>
    <row r="60" spans="2:8" x14ac:dyDescent="0.3">
      <c r="B60" s="3"/>
      <c r="D60" s="3"/>
      <c r="E60" s="3"/>
      <c r="F60" s="3"/>
      <c r="G60" s="3"/>
      <c r="H60" s="3"/>
    </row>
    <row r="61" spans="2:8" x14ac:dyDescent="0.3">
      <c r="B61" s="3" t="s">
        <v>32</v>
      </c>
      <c r="C61" s="12">
        <v>68.398239125679765</v>
      </c>
      <c r="D61" s="13">
        <v>17.963002235294198</v>
      </c>
      <c r="E61" s="13">
        <v>36.644524560000001</v>
      </c>
      <c r="F61" s="13">
        <v>0</v>
      </c>
      <c r="G61" s="13">
        <v>0</v>
      </c>
      <c r="H61" s="13">
        <v>0</v>
      </c>
    </row>
    <row r="62" spans="2:8" x14ac:dyDescent="0.3">
      <c r="B62" s="3" t="s">
        <v>33</v>
      </c>
      <c r="C62" s="12">
        <v>4249.6638289230168</v>
      </c>
      <c r="D62" s="13">
        <v>898.1501117647058</v>
      </c>
      <c r="E62" s="13">
        <v>897.79085171999998</v>
      </c>
      <c r="F62" s="13">
        <v>934.43537628000001</v>
      </c>
      <c r="G62" s="13">
        <v>934.43537628000001</v>
      </c>
      <c r="H62" s="13">
        <v>934.43537628000001</v>
      </c>
    </row>
    <row r="63" spans="2:8" x14ac:dyDescent="0.3">
      <c r="B63" s="3" t="s">
        <v>34</v>
      </c>
      <c r="C63" s="6">
        <v>1.0000005720279164</v>
      </c>
      <c r="D63" s="7">
        <v>1.0000001244387973</v>
      </c>
      <c r="E63" s="7">
        <v>0.98000333117202076</v>
      </c>
      <c r="F63" s="7">
        <v>0.99999505188134064</v>
      </c>
      <c r="G63" s="7">
        <v>0.99999505188134064</v>
      </c>
      <c r="H63" s="7">
        <v>0.99999505188134064</v>
      </c>
    </row>
    <row r="64" spans="2:8" x14ac:dyDescent="0.3">
      <c r="B64" s="3"/>
      <c r="D64" s="3"/>
      <c r="E64" s="3"/>
      <c r="F64" s="3"/>
      <c r="G64" s="3"/>
      <c r="H64" s="3"/>
    </row>
    <row r="65" spans="2:9" x14ac:dyDescent="0.3">
      <c r="B65" s="3" t="s">
        <v>35</v>
      </c>
      <c r="C65" s="14">
        <v>3.1447298519336564</v>
      </c>
      <c r="D65" s="15">
        <v>3.2093298290967973</v>
      </c>
      <c r="E65" s="15">
        <v>3.3543971550690319</v>
      </c>
      <c r="F65" s="15">
        <v>3.2781686109631387</v>
      </c>
      <c r="G65" s="15">
        <v>3.5878120147963144</v>
      </c>
      <c r="H65" s="15">
        <v>3.8233998743363653</v>
      </c>
    </row>
    <row r="66" spans="2:9" x14ac:dyDescent="0.3">
      <c r="B66" s="8" t="s">
        <v>36</v>
      </c>
      <c r="C66" s="16">
        <v>4.923648358232624E-2</v>
      </c>
      <c r="D66" s="16">
        <v>2.0542297814045707E-2</v>
      </c>
      <c r="E66" s="16">
        <v>4.5201750426836274E-2</v>
      </c>
      <c r="F66" s="16">
        <v>-2.2724960874325739E-2</v>
      </c>
      <c r="G66" s="16">
        <v>9.4456216436713758E-2</v>
      </c>
      <c r="H66" s="16">
        <v>6.5663378841610109E-2</v>
      </c>
    </row>
    <row r="70" spans="2:9" x14ac:dyDescent="0.3">
      <c r="B70" t="s">
        <v>37</v>
      </c>
    </row>
    <row r="72" spans="2:9" x14ac:dyDescent="0.3">
      <c r="B72" t="s">
        <v>1</v>
      </c>
      <c r="C72" s="1" t="s">
        <v>2</v>
      </c>
      <c r="D72" s="1">
        <v>2026</v>
      </c>
      <c r="E72" s="1">
        <v>2027</v>
      </c>
      <c r="F72" s="1">
        <v>2028</v>
      </c>
      <c r="G72" s="1">
        <v>2029</v>
      </c>
      <c r="H72" s="1">
        <v>2030</v>
      </c>
      <c r="I72" s="18" t="s">
        <v>58</v>
      </c>
    </row>
    <row r="73" spans="2:9" x14ac:dyDescent="0.3">
      <c r="B73" s="2" t="s">
        <v>38</v>
      </c>
      <c r="C73" s="17">
        <v>125328.3393219197</v>
      </c>
      <c r="D73" s="17">
        <v>29401.091435869545</v>
      </c>
      <c r="E73" s="17">
        <v>31344.673677894923</v>
      </c>
      <c r="F73" s="17">
        <v>30632.367194946255</v>
      </c>
      <c r="G73" s="17">
        <v>33525.784700680997</v>
      </c>
      <c r="H73" s="17">
        <v>35727.201002444068</v>
      </c>
      <c r="I73" s="5">
        <f>SUM(C73:H73)</f>
        <v>285959.45733375545</v>
      </c>
    </row>
    <row r="74" spans="2:9" x14ac:dyDescent="0.3">
      <c r="B74" s="3"/>
      <c r="D74" s="3"/>
      <c r="E74" s="3"/>
      <c r="F74" s="3"/>
      <c r="G74" s="3"/>
      <c r="H74" s="3"/>
      <c r="I74" s="3"/>
    </row>
    <row r="75" spans="2:9" x14ac:dyDescent="0.3">
      <c r="B75" s="3" t="s">
        <v>39</v>
      </c>
      <c r="D75" s="3"/>
      <c r="E75" s="3"/>
      <c r="F75" s="3"/>
      <c r="G75" s="3"/>
      <c r="H75" s="3"/>
      <c r="I75" s="3"/>
    </row>
    <row r="76" spans="2:9" x14ac:dyDescent="0.3">
      <c r="B76" s="3" t="s">
        <v>40</v>
      </c>
      <c r="C76" s="4">
        <v>5705.2018775616143</v>
      </c>
      <c r="D76" s="5">
        <v>2317.1788273723796</v>
      </c>
      <c r="E76" s="5">
        <v>3721.7403361131696</v>
      </c>
      <c r="F76" s="5">
        <v>5075.2662966413909</v>
      </c>
      <c r="G76" s="5">
        <v>6964.8447537694565</v>
      </c>
      <c r="H76" s="5">
        <v>0</v>
      </c>
      <c r="I76" s="5">
        <f>SUM(C76:H76)</f>
        <v>23784.232091458009</v>
      </c>
    </row>
    <row r="77" spans="2:9" x14ac:dyDescent="0.3">
      <c r="B77" s="3" t="s">
        <v>41</v>
      </c>
      <c r="C77" s="4">
        <v>-3719.4973403378258</v>
      </c>
      <c r="D77" s="5">
        <v>-1745.4187540251339</v>
      </c>
      <c r="E77" s="5">
        <v>-3072.2303969320014</v>
      </c>
      <c r="F77" s="5">
        <v>-4130.5760978168864</v>
      </c>
      <c r="G77" s="5">
        <v>-5881.433698051188</v>
      </c>
      <c r="H77" s="5">
        <v>0</v>
      </c>
      <c r="I77" s="5">
        <f>SUM(C77:H77)</f>
        <v>-18549.156287163034</v>
      </c>
    </row>
    <row r="78" spans="2:9" x14ac:dyDescent="0.3">
      <c r="B78" s="3" t="s">
        <v>42</v>
      </c>
      <c r="C78" s="4">
        <v>1985.7045372237881</v>
      </c>
      <c r="D78" s="5">
        <v>571.76007334724557</v>
      </c>
      <c r="E78" s="5">
        <v>649.50993918116853</v>
      </c>
      <c r="F78" s="5">
        <v>944.69019882450436</v>
      </c>
      <c r="G78" s="5">
        <v>1083.4110557182682</v>
      </c>
      <c r="H78" s="5">
        <v>0</v>
      </c>
      <c r="I78" s="5">
        <f>SUM(C78:H78)</f>
        <v>5235.0758042949747</v>
      </c>
    </row>
    <row r="79" spans="2:9" x14ac:dyDescent="0.3">
      <c r="B79" s="3"/>
      <c r="D79" s="3"/>
      <c r="E79" s="3"/>
      <c r="F79" s="3"/>
      <c r="G79" s="3"/>
      <c r="H79" s="3"/>
      <c r="I79" s="3"/>
    </row>
    <row r="80" spans="2:9" x14ac:dyDescent="0.3">
      <c r="B80" s="3" t="s">
        <v>43</v>
      </c>
      <c r="D80" s="3"/>
      <c r="E80" s="3"/>
      <c r="F80" s="3"/>
      <c r="G80" s="3"/>
      <c r="H80" s="3"/>
      <c r="I80" s="3"/>
    </row>
    <row r="81" spans="2:9" x14ac:dyDescent="0.3">
      <c r="B81" s="3" t="s">
        <v>40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  <c r="H81" s="5">
        <v>5085.7062618182572</v>
      </c>
      <c r="I81" s="5">
        <f>SUM(C81:H81)</f>
        <v>5085.7062618182572</v>
      </c>
    </row>
    <row r="82" spans="2:9" x14ac:dyDescent="0.3">
      <c r="B82" s="3" t="s">
        <v>41</v>
      </c>
      <c r="C82" s="4">
        <v>2029.9859701215644</v>
      </c>
      <c r="D82" s="5">
        <v>788.07072861752079</v>
      </c>
      <c r="E82" s="5">
        <v>2133.5170125390728</v>
      </c>
      <c r="F82" s="5">
        <v>3755.1316918899643</v>
      </c>
      <c r="G82" s="5">
        <v>8401.3681521036597</v>
      </c>
      <c r="H82" s="5">
        <v>8389.92295110124</v>
      </c>
      <c r="I82" s="5">
        <f>SUM(C82:H82)</f>
        <v>25497.99650637302</v>
      </c>
    </row>
    <row r="83" spans="2:9" x14ac:dyDescent="0.3">
      <c r="B83" s="3" t="s">
        <v>42</v>
      </c>
      <c r="C83" s="4">
        <v>2029.9859701215644</v>
      </c>
      <c r="D83" s="5">
        <v>788.07072861752079</v>
      </c>
      <c r="E83" s="5">
        <v>2133.5170125390728</v>
      </c>
      <c r="F83" s="5">
        <v>3755.1316918899643</v>
      </c>
      <c r="G83" s="5">
        <v>8401.3681521036597</v>
      </c>
      <c r="H83" s="5">
        <v>13475.629212919495</v>
      </c>
      <c r="I83" s="5">
        <f>SUM(C83:H83)</f>
        <v>30583.702768191277</v>
      </c>
    </row>
    <row r="84" spans="2:9" x14ac:dyDescent="0.3">
      <c r="B84" s="3"/>
      <c r="D84" s="3"/>
      <c r="E84" s="3"/>
      <c r="F84" s="3"/>
      <c r="G84" s="3"/>
      <c r="H84" s="3"/>
      <c r="I84" s="3"/>
    </row>
    <row r="85" spans="2:9" x14ac:dyDescent="0.3">
      <c r="B85" s="3" t="s">
        <v>44</v>
      </c>
      <c r="C85" s="4">
        <v>-1044.7179436650588</v>
      </c>
      <c r="D85" s="5">
        <v>-501.31485421182447</v>
      </c>
      <c r="E85" s="5">
        <v>-1701.5488576415219</v>
      </c>
      <c r="F85" s="5">
        <v>-2940.427444910641</v>
      </c>
      <c r="G85" s="5">
        <v>-6316.1132814865841</v>
      </c>
      <c r="H85" s="5">
        <v>17227.115674550125</v>
      </c>
      <c r="I85" s="5">
        <f>SUM(C85:H85)</f>
        <v>4722.9932926344954</v>
      </c>
    </row>
    <row r="86" spans="2:9" x14ac:dyDescent="0.3">
      <c r="B86" s="3"/>
      <c r="D86" s="3"/>
      <c r="E86" s="3"/>
      <c r="F86" s="3"/>
      <c r="G86" s="3"/>
      <c r="H86" s="3"/>
      <c r="I86" s="3"/>
    </row>
    <row r="87" spans="2:9" x14ac:dyDescent="0.3">
      <c r="B87" s="3" t="s">
        <v>45</v>
      </c>
      <c r="C87" s="4">
        <v>2970.9725636802937</v>
      </c>
      <c r="D87" s="5">
        <v>858.51594775294188</v>
      </c>
      <c r="E87" s="5">
        <v>1081.4780940787196</v>
      </c>
      <c r="F87" s="5">
        <v>1759.3944458038277</v>
      </c>
      <c r="G87" s="5">
        <v>3168.665926335344</v>
      </c>
      <c r="H87" s="5">
        <v>30702.74488746962</v>
      </c>
      <c r="I87" s="5">
        <f>SUM(C87:H87)</f>
        <v>40541.771865120747</v>
      </c>
    </row>
    <row r="88" spans="2:9" x14ac:dyDescent="0.3">
      <c r="B88" s="8"/>
      <c r="C88" s="8"/>
      <c r="D88" s="8"/>
      <c r="E88" s="8"/>
      <c r="F88" s="8"/>
      <c r="G88" s="8"/>
      <c r="H88" s="8"/>
      <c r="I88" s="8"/>
    </row>
    <row r="91" spans="2:9" x14ac:dyDescent="0.3">
      <c r="B91" t="s">
        <v>46</v>
      </c>
    </row>
    <row r="93" spans="2:9" x14ac:dyDescent="0.3">
      <c r="B93" t="s">
        <v>1</v>
      </c>
      <c r="C93" s="18" t="s">
        <v>2</v>
      </c>
      <c r="D93" s="18">
        <v>2026</v>
      </c>
      <c r="E93" s="18">
        <v>2027</v>
      </c>
      <c r="F93" s="18">
        <v>2028</v>
      </c>
      <c r="G93" s="18">
        <v>2029</v>
      </c>
      <c r="H93" s="18">
        <v>2030</v>
      </c>
      <c r="I93" s="18" t="s">
        <v>58</v>
      </c>
    </row>
    <row r="94" spans="2:9" x14ac:dyDescent="0.3">
      <c r="B94" s="2" t="s">
        <v>38</v>
      </c>
      <c r="C94" s="17">
        <v>125328.3393219197</v>
      </c>
      <c r="D94" s="17">
        <v>29401.091435869545</v>
      </c>
      <c r="E94" s="17">
        <v>31344.673677894923</v>
      </c>
      <c r="F94" s="17">
        <v>30632.367194946255</v>
      </c>
      <c r="G94" s="17">
        <v>33525.784700680997</v>
      </c>
      <c r="H94" s="17">
        <v>35727.201002444068</v>
      </c>
      <c r="I94" s="17">
        <f>SUM(C94:H94)</f>
        <v>285959.45733375545</v>
      </c>
    </row>
    <row r="95" spans="2:9" x14ac:dyDescent="0.3">
      <c r="B95" s="3" t="s">
        <v>47</v>
      </c>
      <c r="C95" t="s">
        <v>48</v>
      </c>
      <c r="D95" s="7">
        <v>4.095314377032655E-2</v>
      </c>
      <c r="E95" s="7">
        <v>6.6105785435373043E-2</v>
      </c>
      <c r="F95" s="7">
        <v>-2.2724960874325739E-2</v>
      </c>
      <c r="G95" s="7">
        <v>9.445621643671398E-2</v>
      </c>
      <c r="H95" s="7">
        <v>6.5663378841610109E-2</v>
      </c>
      <c r="I95" s="7"/>
    </row>
    <row r="96" spans="2:9" x14ac:dyDescent="0.3">
      <c r="B96" s="3"/>
      <c r="D96" s="3"/>
      <c r="E96" s="3"/>
      <c r="F96" s="3"/>
      <c r="G96" s="3"/>
      <c r="H96" s="3"/>
      <c r="I96" s="3"/>
    </row>
    <row r="97" spans="2:9" x14ac:dyDescent="0.3">
      <c r="B97" s="3" t="s">
        <v>49</v>
      </c>
      <c r="C97" s="4">
        <v>88695.811628024429</v>
      </c>
      <c r="D97" s="5">
        <v>19811.493754742711</v>
      </c>
      <c r="E97" s="5">
        <v>20633.038541134152</v>
      </c>
      <c r="F97" s="5">
        <v>16637.183909973155</v>
      </c>
      <c r="G97" s="5">
        <v>11471.005750812432</v>
      </c>
      <c r="H97" s="5">
        <v>5085.7062618182572</v>
      </c>
      <c r="I97" s="5">
        <f>SUM(C97:H97)</f>
        <v>162334.23984650517</v>
      </c>
    </row>
    <row r="98" spans="2:9" x14ac:dyDescent="0.3">
      <c r="B98" s="3" t="s">
        <v>50</v>
      </c>
      <c r="C98" s="4">
        <v>17767.651813126369</v>
      </c>
      <c r="D98" s="5">
        <v>6583.6605898514272</v>
      </c>
      <c r="E98" s="5">
        <v>8667.4071213757161</v>
      </c>
      <c r="F98" s="5">
        <v>9854.0537569074859</v>
      </c>
      <c r="G98" s="5">
        <v>10280.639248885871</v>
      </c>
      <c r="H98" s="5">
        <v>8389.92295110124</v>
      </c>
      <c r="I98" s="5">
        <f t="shared" ref="I98:I103" si="0">SUM(C98:H98)</f>
        <v>61543.335481248105</v>
      </c>
    </row>
    <row r="99" spans="2:9" x14ac:dyDescent="0.3">
      <c r="B99" s="3" t="s">
        <v>51</v>
      </c>
      <c r="C99" s="4">
        <v>106463.4634411508</v>
      </c>
      <c r="D99" s="5">
        <v>26395.154344594139</v>
      </c>
      <c r="E99" s="5">
        <v>29300.445662509865</v>
      </c>
      <c r="F99" s="5">
        <v>26491.237666880639</v>
      </c>
      <c r="G99" s="5">
        <v>21751.644999698303</v>
      </c>
      <c r="H99" s="5">
        <v>13475.629212919495</v>
      </c>
      <c r="I99" s="5">
        <f t="shared" si="0"/>
        <v>223877.57532775323</v>
      </c>
    </row>
    <row r="100" spans="2:9" x14ac:dyDescent="0.3">
      <c r="B100" s="3"/>
      <c r="D100" s="3"/>
      <c r="E100" s="3"/>
      <c r="F100" s="3"/>
      <c r="G100" s="3"/>
      <c r="H100" s="3"/>
      <c r="I100" s="3"/>
    </row>
    <row r="101" spans="2:9" x14ac:dyDescent="0.3">
      <c r="B101" s="3" t="s">
        <v>52</v>
      </c>
      <c r="C101" s="4">
        <v>8624.0449008888281</v>
      </c>
      <c r="D101" s="5">
        <v>3280.7409768468669</v>
      </c>
      <c r="E101" s="5">
        <v>4687.1727003868236</v>
      </c>
      <c r="F101" s="5">
        <v>5881.5287986267122</v>
      </c>
      <c r="G101" s="5">
        <v>8621.0127404726154</v>
      </c>
      <c r="H101" s="5">
        <v>17227.115674550125</v>
      </c>
      <c r="I101" s="5">
        <f t="shared" si="0"/>
        <v>48321.615791771968</v>
      </c>
    </row>
    <row r="102" spans="2:9" x14ac:dyDescent="0.3">
      <c r="B102" s="3"/>
      <c r="D102" s="3"/>
      <c r="E102" s="3"/>
      <c r="F102" s="3"/>
      <c r="G102" s="3"/>
      <c r="H102" s="3"/>
      <c r="I102" s="3"/>
    </row>
    <row r="103" spans="2:9" x14ac:dyDescent="0.3">
      <c r="B103" s="3" t="s">
        <v>6</v>
      </c>
      <c r="C103" s="4">
        <v>115087.50834203963</v>
      </c>
      <c r="D103" s="5">
        <v>29675.895321441007</v>
      </c>
      <c r="E103" s="5">
        <v>33987.61836289669</v>
      </c>
      <c r="F103" s="5">
        <v>32372.766465507349</v>
      </c>
      <c r="G103" s="5">
        <v>30372.657740170918</v>
      </c>
      <c r="H103" s="5">
        <v>30702.74488746962</v>
      </c>
      <c r="I103" s="5">
        <f t="shared" si="0"/>
        <v>272199.19111952523</v>
      </c>
    </row>
    <row r="104" spans="2:9" x14ac:dyDescent="0.3">
      <c r="B104" s="3"/>
      <c r="D104" s="3"/>
      <c r="E104" s="3"/>
      <c r="F104" s="3"/>
      <c r="G104" s="3"/>
      <c r="H104" s="3"/>
      <c r="I104" s="3"/>
    </row>
    <row r="105" spans="2:9" x14ac:dyDescent="0.3">
      <c r="B105" s="3" t="s">
        <v>53</v>
      </c>
      <c r="C105" s="6">
        <v>0.91828798629833142</v>
      </c>
      <c r="D105" s="7">
        <v>1.0093467239531182</v>
      </c>
      <c r="E105" s="7">
        <v>1.0843187813075124</v>
      </c>
      <c r="F105" s="7">
        <v>1.0568156962694097</v>
      </c>
      <c r="G105" s="7">
        <v>0.90594919735179158</v>
      </c>
      <c r="H105" s="7">
        <v>0.85936608595140918</v>
      </c>
      <c r="I105" s="7"/>
    </row>
    <row r="106" spans="2:9" x14ac:dyDescent="0.3">
      <c r="B106" s="8"/>
      <c r="C106" s="8"/>
      <c r="D106" s="8"/>
      <c r="E106" s="8"/>
      <c r="F106" s="8"/>
      <c r="G106" s="8"/>
      <c r="H106" s="8"/>
      <c r="I106" s="8"/>
    </row>
    <row r="110" spans="2:9" x14ac:dyDescent="0.3">
      <c r="B110" t="s">
        <v>54</v>
      </c>
    </row>
    <row r="112" spans="2:9" x14ac:dyDescent="0.3">
      <c r="B112" t="s">
        <v>55</v>
      </c>
      <c r="C112" s="18" t="s">
        <v>2</v>
      </c>
      <c r="D112" s="18">
        <v>2026</v>
      </c>
      <c r="E112" s="18">
        <v>2027</v>
      </c>
      <c r="F112" s="18">
        <v>2028</v>
      </c>
      <c r="G112" s="18">
        <v>2029</v>
      </c>
      <c r="H112" s="18">
        <v>2030</v>
      </c>
      <c r="I112" s="18" t="s">
        <v>58</v>
      </c>
    </row>
    <row r="113" spans="2:9" x14ac:dyDescent="0.3">
      <c r="B113" s="2" t="s">
        <v>38</v>
      </c>
      <c r="C113" s="17">
        <v>125328.3393219197</v>
      </c>
      <c r="D113" s="17">
        <v>29401.091435869545</v>
      </c>
      <c r="E113" s="17">
        <v>31344.673677894923</v>
      </c>
      <c r="F113" s="17">
        <v>30632.367194946255</v>
      </c>
      <c r="G113" s="17">
        <v>33525.784700680997</v>
      </c>
      <c r="H113" s="17">
        <v>35727.201002444068</v>
      </c>
      <c r="I113" s="5">
        <f t="shared" ref="I113" si="1">SUM(C113:H113)</f>
        <v>285959.45733375545</v>
      </c>
    </row>
    <row r="114" spans="2:9" x14ac:dyDescent="0.3">
      <c r="B114" s="3" t="s">
        <v>47</v>
      </c>
      <c r="C114" t="s">
        <v>48</v>
      </c>
      <c r="D114" s="7">
        <v>4.095314377032655E-2</v>
      </c>
      <c r="E114" s="7">
        <v>6.6105785435373043E-2</v>
      </c>
      <c r="F114" s="7">
        <v>-2.2724960874325739E-2</v>
      </c>
      <c r="G114" s="7">
        <v>9.445621643671398E-2</v>
      </c>
      <c r="H114" s="7">
        <v>6.5663378841610109E-2</v>
      </c>
      <c r="I114" s="7"/>
    </row>
    <row r="115" spans="2:9" x14ac:dyDescent="0.3">
      <c r="B115" s="3"/>
      <c r="D115" s="3"/>
      <c r="E115" s="3"/>
      <c r="F115" s="3"/>
      <c r="G115" s="3"/>
      <c r="H115" s="3"/>
      <c r="I115" s="3"/>
    </row>
    <row r="116" spans="2:9" x14ac:dyDescent="0.3">
      <c r="B116" s="3" t="s">
        <v>49</v>
      </c>
      <c r="C116" s="4">
        <v>88695.811628024429</v>
      </c>
      <c r="D116" s="5">
        <v>19811.493754742711</v>
      </c>
      <c r="E116" s="5">
        <v>20633.038541134152</v>
      </c>
      <c r="F116" s="5">
        <v>16637.183909973155</v>
      </c>
      <c r="G116" s="5">
        <v>11471.005750812432</v>
      </c>
      <c r="H116" s="5">
        <v>5085.7062618182563</v>
      </c>
      <c r="I116" s="5">
        <f t="shared" ref="I116:I118" si="2">SUM(C116:H116)</f>
        <v>162334.23984650517</v>
      </c>
    </row>
    <row r="117" spans="2:9" x14ac:dyDescent="0.3">
      <c r="B117" s="3" t="s">
        <v>50</v>
      </c>
      <c r="C117" s="4">
        <v>17767.651813126369</v>
      </c>
      <c r="D117" s="5">
        <v>6583.6605898514272</v>
      </c>
      <c r="E117" s="5">
        <v>8667.4071213757161</v>
      </c>
      <c r="F117" s="5">
        <v>9854.0537569074859</v>
      </c>
      <c r="G117" s="5">
        <v>10280.639248885871</v>
      </c>
      <c r="H117" s="5">
        <v>8389.92295110124</v>
      </c>
      <c r="I117" s="5">
        <f t="shared" si="2"/>
        <v>61543.335481248105</v>
      </c>
    </row>
    <row r="118" spans="2:9" x14ac:dyDescent="0.3">
      <c r="B118" s="3" t="s">
        <v>51</v>
      </c>
      <c r="C118" s="4">
        <v>106463.4634411508</v>
      </c>
      <c r="D118" s="5">
        <v>26395.154344594139</v>
      </c>
      <c r="E118" s="5">
        <v>29300.445662509865</v>
      </c>
      <c r="F118" s="5">
        <v>26491.237666880643</v>
      </c>
      <c r="G118" s="5">
        <v>21751.644999698303</v>
      </c>
      <c r="H118" s="5">
        <v>13475.629212919495</v>
      </c>
      <c r="I118" s="5">
        <f t="shared" si="2"/>
        <v>223877.57532775326</v>
      </c>
    </row>
    <row r="119" spans="2:9" x14ac:dyDescent="0.3">
      <c r="B119" s="3"/>
      <c r="D119" s="3"/>
      <c r="E119" s="3"/>
      <c r="F119" s="3"/>
      <c r="G119" s="3"/>
      <c r="H119" s="3"/>
      <c r="I119" s="3"/>
    </row>
    <row r="120" spans="2:9" x14ac:dyDescent="0.3">
      <c r="B120" s="3" t="s">
        <v>52</v>
      </c>
      <c r="C120" s="4">
        <v>8624.0449008888281</v>
      </c>
      <c r="D120" s="5">
        <v>3280.7409768468669</v>
      </c>
      <c r="E120" s="5">
        <v>4687.1727003868236</v>
      </c>
      <c r="F120" s="5">
        <v>5881.5287986267122</v>
      </c>
      <c r="G120" s="5">
        <v>8621.0127404726154</v>
      </c>
      <c r="H120" s="5">
        <v>17227.115674550125</v>
      </c>
      <c r="I120" s="5">
        <f t="shared" ref="I120" si="3">SUM(C120:H120)</f>
        <v>48321.615791771968</v>
      </c>
    </row>
    <row r="121" spans="2:9" x14ac:dyDescent="0.3">
      <c r="B121" s="3"/>
      <c r="D121" s="3"/>
      <c r="E121" s="3"/>
      <c r="F121" s="3"/>
      <c r="G121" s="3"/>
      <c r="H121" s="3"/>
      <c r="I121" s="3"/>
    </row>
    <row r="122" spans="2:9" x14ac:dyDescent="0.3">
      <c r="B122" s="3" t="s">
        <v>6</v>
      </c>
      <c r="C122" s="4">
        <v>115087.50834203963</v>
      </c>
      <c r="D122" s="5">
        <v>29675.895321441007</v>
      </c>
      <c r="E122" s="5">
        <v>33987.61836289669</v>
      </c>
      <c r="F122" s="5">
        <v>32372.766465507353</v>
      </c>
      <c r="G122" s="5">
        <v>30372.657740170918</v>
      </c>
      <c r="H122" s="5">
        <v>30702.74488746962</v>
      </c>
      <c r="I122" s="5">
        <f t="shared" ref="I122" si="4">SUM(C122:H122)</f>
        <v>272199.19111952523</v>
      </c>
    </row>
    <row r="123" spans="2:9" x14ac:dyDescent="0.3">
      <c r="B123" s="3"/>
      <c r="D123" s="3"/>
      <c r="E123" s="3"/>
      <c r="F123" s="3"/>
      <c r="G123" s="3"/>
      <c r="H123" s="3"/>
      <c r="I123" s="3"/>
    </row>
    <row r="124" spans="2:9" x14ac:dyDescent="0.3">
      <c r="B124" s="3" t="s">
        <v>53</v>
      </c>
      <c r="C124" s="6">
        <v>0.91828798629833142</v>
      </c>
      <c r="D124" s="7">
        <v>1.0093467239531182</v>
      </c>
      <c r="E124" s="7">
        <v>1.0843187813075124</v>
      </c>
      <c r="F124" s="7">
        <v>1.0568156962694097</v>
      </c>
      <c r="G124" s="7">
        <v>0.90594919735179158</v>
      </c>
      <c r="H124" s="7">
        <v>0.85936608595140918</v>
      </c>
      <c r="I124" s="7"/>
    </row>
    <row r="125" spans="2:9" x14ac:dyDescent="0.3">
      <c r="B125" s="8"/>
      <c r="C125" s="8"/>
      <c r="D125" s="8"/>
      <c r="E125" s="8"/>
      <c r="F125" s="8"/>
      <c r="G125" s="8"/>
      <c r="H125" s="8"/>
      <c r="I125" s="8"/>
    </row>
    <row r="127" spans="2:9" x14ac:dyDescent="0.3">
      <c r="B127" t="s">
        <v>56</v>
      </c>
      <c r="C127" s="18" t="s">
        <v>2</v>
      </c>
      <c r="D127" s="18">
        <v>2026</v>
      </c>
      <c r="E127" s="18">
        <v>2027</v>
      </c>
      <c r="F127" s="18">
        <v>2028</v>
      </c>
      <c r="G127" s="18">
        <v>2029</v>
      </c>
      <c r="H127" s="18">
        <v>2030</v>
      </c>
      <c r="I127" s="18" t="s">
        <v>58</v>
      </c>
    </row>
    <row r="128" spans="2:9" x14ac:dyDescent="0.3">
      <c r="B128" s="2" t="s">
        <v>38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5">
        <f t="shared" ref="I128" si="5">SUM(C128:H128)</f>
        <v>0</v>
      </c>
    </row>
    <row r="129" spans="2:9" x14ac:dyDescent="0.3">
      <c r="B129" s="3" t="s">
        <v>47</v>
      </c>
      <c r="C129" t="s">
        <v>48</v>
      </c>
      <c r="D129" s="3" t="s">
        <v>48</v>
      </c>
      <c r="E129" s="3" t="s">
        <v>48</v>
      </c>
      <c r="F129" s="3" t="s">
        <v>48</v>
      </c>
      <c r="G129" s="3" t="s">
        <v>48</v>
      </c>
      <c r="H129" s="3" t="s">
        <v>48</v>
      </c>
      <c r="I129" s="7"/>
    </row>
    <row r="130" spans="2:9" x14ac:dyDescent="0.3">
      <c r="B130" s="3"/>
      <c r="D130" s="3"/>
      <c r="E130" s="3"/>
      <c r="F130" s="3"/>
      <c r="G130" s="3"/>
      <c r="H130" s="3"/>
      <c r="I130" s="3"/>
    </row>
    <row r="131" spans="2:9" x14ac:dyDescent="0.3">
      <c r="B131" s="3" t="s">
        <v>49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f t="shared" ref="I131:I133" si="6">SUM(C131:H131)</f>
        <v>0</v>
      </c>
    </row>
    <row r="132" spans="2:9" x14ac:dyDescent="0.3">
      <c r="B132" s="3" t="s">
        <v>50</v>
      </c>
      <c r="C132" s="4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f t="shared" si="6"/>
        <v>0</v>
      </c>
    </row>
    <row r="133" spans="2:9" x14ac:dyDescent="0.3">
      <c r="B133" s="3" t="s">
        <v>51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f t="shared" si="6"/>
        <v>0</v>
      </c>
    </row>
    <row r="134" spans="2:9" x14ac:dyDescent="0.3">
      <c r="B134" s="3"/>
      <c r="D134" s="3"/>
      <c r="E134" s="3"/>
      <c r="F134" s="3"/>
      <c r="G134" s="3"/>
      <c r="H134" s="3"/>
      <c r="I134" s="3"/>
    </row>
    <row r="135" spans="2:9" x14ac:dyDescent="0.3">
      <c r="B135" s="3" t="s">
        <v>52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f t="shared" ref="I135" si="7">SUM(C135:H135)</f>
        <v>0</v>
      </c>
    </row>
    <row r="136" spans="2:9" x14ac:dyDescent="0.3">
      <c r="B136" s="3"/>
      <c r="D136" s="3"/>
      <c r="E136" s="3"/>
      <c r="F136" s="3"/>
      <c r="G136" s="3"/>
      <c r="H136" s="3"/>
      <c r="I136" s="3"/>
    </row>
    <row r="137" spans="2:9" x14ac:dyDescent="0.3">
      <c r="B137" s="3" t="s">
        <v>6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f t="shared" ref="I137" si="8">SUM(C137:H137)</f>
        <v>0</v>
      </c>
    </row>
    <row r="138" spans="2:9" x14ac:dyDescent="0.3">
      <c r="B138" s="3"/>
      <c r="D138" s="3"/>
      <c r="E138" s="3"/>
      <c r="F138" s="3"/>
      <c r="G138" s="3"/>
      <c r="H138" s="3"/>
      <c r="I138" s="3"/>
    </row>
    <row r="139" spans="2:9" x14ac:dyDescent="0.3">
      <c r="B139" s="3" t="s">
        <v>53</v>
      </c>
      <c r="C139" t="s">
        <v>48</v>
      </c>
      <c r="D139" s="3" t="s">
        <v>48</v>
      </c>
      <c r="E139" s="3" t="s">
        <v>48</v>
      </c>
      <c r="F139" s="3" t="s">
        <v>48</v>
      </c>
      <c r="G139" s="3" t="s">
        <v>48</v>
      </c>
      <c r="H139" s="3" t="s">
        <v>48</v>
      </c>
      <c r="I139" s="7"/>
    </row>
    <row r="140" spans="2:9" x14ac:dyDescent="0.3">
      <c r="B140" s="8"/>
      <c r="C140" s="8"/>
      <c r="D140" s="8"/>
      <c r="E140" s="8"/>
      <c r="F140" s="8"/>
      <c r="G140" s="8"/>
      <c r="H140" s="8"/>
      <c r="I140" s="8"/>
    </row>
    <row r="142" spans="2:9" x14ac:dyDescent="0.3">
      <c r="B142" t="s">
        <v>57</v>
      </c>
      <c r="C142" s="18" t="s">
        <v>2</v>
      </c>
      <c r="D142" s="18">
        <v>2026</v>
      </c>
      <c r="E142" s="18">
        <v>2027</v>
      </c>
      <c r="F142" s="18">
        <v>2028</v>
      </c>
      <c r="G142" s="18">
        <v>2029</v>
      </c>
      <c r="H142" s="18">
        <v>2030</v>
      </c>
      <c r="I142" s="18" t="s">
        <v>58</v>
      </c>
    </row>
    <row r="143" spans="2:9" x14ac:dyDescent="0.3">
      <c r="B143" s="2" t="s">
        <v>38</v>
      </c>
      <c r="C143" s="17">
        <v>125328.3393219197</v>
      </c>
      <c r="D143" s="17">
        <v>29401.091435869545</v>
      </c>
      <c r="E143" s="17">
        <v>31344.673677894923</v>
      </c>
      <c r="F143" s="17">
        <v>30632.367194946255</v>
      </c>
      <c r="G143" s="17">
        <v>33525.784700680997</v>
      </c>
      <c r="H143" s="17">
        <v>35727.201002444068</v>
      </c>
      <c r="I143" s="5">
        <f t="shared" ref="I143" si="9">SUM(C143:H143)</f>
        <v>285959.45733375545</v>
      </c>
    </row>
    <row r="144" spans="2:9" x14ac:dyDescent="0.3">
      <c r="B144" s="3" t="s">
        <v>47</v>
      </c>
      <c r="C144" t="s">
        <v>48</v>
      </c>
      <c r="D144" s="7">
        <v>4.095314377032655E-2</v>
      </c>
      <c r="E144" s="7">
        <v>6.6105785435373043E-2</v>
      </c>
      <c r="F144" s="7">
        <v>-2.2724960874325739E-2</v>
      </c>
      <c r="G144" s="7">
        <v>9.445621643671398E-2</v>
      </c>
      <c r="H144" s="7">
        <v>6.5663378841610109E-2</v>
      </c>
      <c r="I144" s="7"/>
    </row>
    <row r="145" spans="2:9" x14ac:dyDescent="0.3">
      <c r="B145" s="3"/>
      <c r="D145" s="3"/>
      <c r="E145" s="3"/>
      <c r="F145" s="3"/>
      <c r="G145" s="3"/>
      <c r="H145" s="3"/>
      <c r="I145" s="3"/>
    </row>
    <row r="146" spans="2:9" x14ac:dyDescent="0.3">
      <c r="B146" s="3" t="s">
        <v>49</v>
      </c>
      <c r="C146" s="4">
        <v>88695.811628024429</v>
      </c>
      <c r="D146" s="5">
        <v>19811.493754742711</v>
      </c>
      <c r="E146" s="5">
        <v>20633.038541134152</v>
      </c>
      <c r="F146" s="5">
        <v>16637.183909973155</v>
      </c>
      <c r="G146" s="5">
        <v>11471.005750812432</v>
      </c>
      <c r="H146" s="5">
        <v>5085.7062618182572</v>
      </c>
      <c r="I146" s="5">
        <f t="shared" ref="I146:I148" si="10">SUM(C146:H146)</f>
        <v>162334.23984650517</v>
      </c>
    </row>
    <row r="147" spans="2:9" x14ac:dyDescent="0.3">
      <c r="B147" s="3" t="s">
        <v>50</v>
      </c>
      <c r="C147" s="4">
        <v>17767.651813126369</v>
      </c>
      <c r="D147" s="5">
        <v>6583.6605898514272</v>
      </c>
      <c r="E147" s="5">
        <v>8667.4071213757161</v>
      </c>
      <c r="F147" s="5">
        <v>9854.0537569074859</v>
      </c>
      <c r="G147" s="5">
        <v>10280.639248885871</v>
      </c>
      <c r="H147" s="5">
        <v>8389.92295110124</v>
      </c>
      <c r="I147" s="5">
        <f t="shared" si="10"/>
        <v>61543.335481248105</v>
      </c>
    </row>
    <row r="148" spans="2:9" x14ac:dyDescent="0.3">
      <c r="B148" s="3" t="s">
        <v>51</v>
      </c>
      <c r="C148" s="4">
        <v>106463.4634411508</v>
      </c>
      <c r="D148" s="5">
        <v>26395.154344594139</v>
      </c>
      <c r="E148" s="5">
        <v>29300.445662509865</v>
      </c>
      <c r="F148" s="5">
        <v>26491.237666880639</v>
      </c>
      <c r="G148" s="5">
        <v>21751.644999698303</v>
      </c>
      <c r="H148" s="5">
        <v>13475.629212919495</v>
      </c>
      <c r="I148" s="5">
        <f t="shared" si="10"/>
        <v>223877.57532775323</v>
      </c>
    </row>
    <row r="149" spans="2:9" x14ac:dyDescent="0.3">
      <c r="B149" s="3"/>
      <c r="D149" s="3"/>
      <c r="E149" s="3"/>
      <c r="F149" s="3"/>
      <c r="G149" s="3"/>
      <c r="H149" s="3"/>
      <c r="I149" s="3"/>
    </row>
    <row r="150" spans="2:9" x14ac:dyDescent="0.3">
      <c r="B150" s="3" t="s">
        <v>52</v>
      </c>
      <c r="C150" s="4">
        <v>8624.0449008888281</v>
      </c>
      <c r="D150" s="5">
        <v>3280.7409768468669</v>
      </c>
      <c r="E150" s="5">
        <v>4687.1727003868236</v>
      </c>
      <c r="F150" s="5">
        <v>5881.5287986267122</v>
      </c>
      <c r="G150" s="5">
        <v>8621.0127404726154</v>
      </c>
      <c r="H150" s="5">
        <v>17227.115674550125</v>
      </c>
      <c r="I150" s="5">
        <f t="shared" ref="I150" si="11">SUM(C150:H150)</f>
        <v>48321.615791771968</v>
      </c>
    </row>
    <row r="151" spans="2:9" x14ac:dyDescent="0.3">
      <c r="B151" s="3"/>
      <c r="D151" s="3"/>
      <c r="E151" s="3"/>
      <c r="F151" s="3"/>
      <c r="G151" s="3"/>
      <c r="H151" s="3"/>
      <c r="I151" s="3"/>
    </row>
    <row r="152" spans="2:9" x14ac:dyDescent="0.3">
      <c r="B152" s="3" t="s">
        <v>6</v>
      </c>
      <c r="C152" s="4">
        <v>115087.50834203963</v>
      </c>
      <c r="D152" s="5">
        <v>29675.895321441007</v>
      </c>
      <c r="E152" s="5">
        <v>33987.61836289669</v>
      </c>
      <c r="F152" s="5">
        <v>32372.766465507349</v>
      </c>
      <c r="G152" s="5">
        <v>30372.657740170918</v>
      </c>
      <c r="H152" s="5">
        <v>30702.74488746962</v>
      </c>
      <c r="I152" s="5">
        <f t="shared" ref="I152" si="12">SUM(C152:H152)</f>
        <v>272199.19111952523</v>
      </c>
    </row>
    <row r="153" spans="2:9" x14ac:dyDescent="0.3">
      <c r="B153" s="3"/>
      <c r="D153" s="3"/>
      <c r="E153" s="3"/>
      <c r="F153" s="3"/>
      <c r="G153" s="3"/>
      <c r="H153" s="3"/>
      <c r="I153" s="3"/>
    </row>
    <row r="154" spans="2:9" x14ac:dyDescent="0.3">
      <c r="B154" s="3" t="s">
        <v>53</v>
      </c>
      <c r="C154" s="6">
        <v>0.91828798629833142</v>
      </c>
      <c r="D154" s="7">
        <v>1.0093467239531182</v>
      </c>
      <c r="E154" s="7">
        <v>1.0843187813075124</v>
      </c>
      <c r="F154" s="7">
        <v>1.0568156962694097</v>
      </c>
      <c r="G154" s="7">
        <v>0.90594919735179158</v>
      </c>
      <c r="H154" s="7">
        <v>0.85936608595140918</v>
      </c>
      <c r="I154" s="7"/>
    </row>
    <row r="155" spans="2:9" x14ac:dyDescent="0.3">
      <c r="B155" s="8"/>
      <c r="C155" s="8"/>
      <c r="D155" s="8"/>
      <c r="E155" s="8"/>
      <c r="F155" s="8"/>
      <c r="G155" s="8"/>
      <c r="H155" s="8"/>
      <c r="I155" s="8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55"/>
  <sheetViews>
    <sheetView tabSelected="1" topLeftCell="A158" workbookViewId="0">
      <selection activeCell="J175" sqref="J175"/>
    </sheetView>
  </sheetViews>
  <sheetFormatPr defaultRowHeight="14.4" x14ac:dyDescent="0.3"/>
  <cols>
    <col min="1" max="1" width="2" customWidth="1"/>
    <col min="2" max="2" width="42" customWidth="1"/>
    <col min="3" max="8" width="12" customWidth="1"/>
  </cols>
  <sheetData>
    <row r="2" spans="2:8" x14ac:dyDescent="0.3">
      <c r="B2" t="s">
        <v>0</v>
      </c>
    </row>
    <row r="4" spans="2:8" x14ac:dyDescent="0.3">
      <c r="B4" t="s">
        <v>1</v>
      </c>
      <c r="C4" s="1" t="s">
        <v>2</v>
      </c>
      <c r="D4" s="1">
        <v>2026</v>
      </c>
      <c r="E4" s="1">
        <v>2027</v>
      </c>
      <c r="F4" s="1">
        <v>2028</v>
      </c>
      <c r="G4" s="1">
        <v>2029</v>
      </c>
      <c r="H4" s="1">
        <v>2030</v>
      </c>
    </row>
    <row r="5" spans="2:8" x14ac:dyDescent="0.3">
      <c r="B5" s="2"/>
      <c r="C5" s="2"/>
      <c r="D5" s="2"/>
      <c r="E5" s="2"/>
      <c r="F5" s="2"/>
      <c r="G5" s="2"/>
      <c r="H5" s="2"/>
    </row>
    <row r="6" spans="2:8" x14ac:dyDescent="0.3">
      <c r="B6" s="3" t="s">
        <v>3</v>
      </c>
      <c r="C6" s="4">
        <v>125328.3393219197</v>
      </c>
      <c r="D6" s="5">
        <v>29401.091435869545</v>
      </c>
      <c r="E6" s="5">
        <v>31344.673677894923</v>
      </c>
      <c r="F6" s="5">
        <v>30632.367194946255</v>
      </c>
      <c r="G6" s="5">
        <v>33525.784700680997</v>
      </c>
      <c r="H6" s="5">
        <v>35727.201002444068</v>
      </c>
    </row>
    <row r="7" spans="2:8" x14ac:dyDescent="0.3">
      <c r="B7" s="3"/>
      <c r="C7" s="3"/>
      <c r="D7" s="3"/>
      <c r="E7" s="3"/>
      <c r="F7" s="3"/>
      <c r="G7" s="3"/>
      <c r="H7" s="3"/>
    </row>
    <row r="8" spans="2:8" x14ac:dyDescent="0.3">
      <c r="B8" s="3" t="s">
        <v>4</v>
      </c>
      <c r="C8" s="4">
        <v>86948.536031902113</v>
      </c>
      <c r="D8" s="5">
        <v>20158.069532828635</v>
      </c>
      <c r="E8" s="5">
        <v>29819.432340172141</v>
      </c>
      <c r="F8" s="5">
        <v>30935.053597734488</v>
      </c>
      <c r="G8" s="5">
        <v>32313.896792475854</v>
      </c>
      <c r="H8" s="5">
        <v>34844.828245253186</v>
      </c>
    </row>
    <row r="9" spans="2:8" x14ac:dyDescent="0.3">
      <c r="B9" s="3" t="s">
        <v>5</v>
      </c>
      <c r="C9" s="5">
        <v>14495.370629580806</v>
      </c>
      <c r="D9" s="5">
        <v>3089.3960609515589</v>
      </c>
      <c r="E9" s="5">
        <v>5324.9446995515036</v>
      </c>
      <c r="F9" s="5">
        <v>4354.1813301247294</v>
      </c>
      <c r="G9" s="5">
        <v>4218.5382390827099</v>
      </c>
      <c r="H9" s="5">
        <v>5696.9436198673848</v>
      </c>
    </row>
    <row r="10" spans="2:8" x14ac:dyDescent="0.3">
      <c r="B10" s="3" t="s">
        <v>6</v>
      </c>
      <c r="C10" s="5">
        <v>101443.90666148294</v>
      </c>
      <c r="D10" s="5">
        <v>23247.465593780198</v>
      </c>
      <c r="E10" s="5">
        <v>35144.377039723644</v>
      </c>
      <c r="F10" s="5">
        <v>35289.234927859216</v>
      </c>
      <c r="G10" s="5">
        <v>36532.435031558569</v>
      </c>
      <c r="H10" s="5">
        <v>40541.771865120565</v>
      </c>
    </row>
    <row r="11" spans="2:8" x14ac:dyDescent="0.3">
      <c r="B11" s="3" t="s">
        <v>7</v>
      </c>
      <c r="C11" s="6">
        <v>0.809425124519627</v>
      </c>
      <c r="D11" s="7">
        <v>0.79070076852378757</v>
      </c>
      <c r="E11" s="7">
        <v>1.1212232547346113</v>
      </c>
      <c r="F11" s="7">
        <v>1.1520244159805335</v>
      </c>
      <c r="G11" s="7">
        <v>1.0896817287863958</v>
      </c>
      <c r="H11" s="7">
        <v>1.134759251427145</v>
      </c>
    </row>
    <row r="12" spans="2:8" x14ac:dyDescent="0.3">
      <c r="B12" s="3"/>
      <c r="C12" s="3"/>
      <c r="D12" s="3"/>
      <c r="E12" s="3"/>
      <c r="F12" s="3"/>
      <c r="G12" s="3"/>
      <c r="H12" s="3"/>
    </row>
    <row r="13" spans="2:8" x14ac:dyDescent="0.3">
      <c r="B13" s="3" t="s">
        <v>8</v>
      </c>
      <c r="C13" s="4">
        <v>15829.655574513512</v>
      </c>
      <c r="D13" s="5">
        <v>3600.9419208901541</v>
      </c>
      <c r="E13" s="5">
        <v>3800.7398793475541</v>
      </c>
      <c r="F13" s="5">
        <v>3868.370203668379</v>
      </c>
      <c r="G13" s="5">
        <v>4004.8071796377826</v>
      </c>
      <c r="H13" s="5">
        <v>4125.5289589534295</v>
      </c>
    </row>
    <row r="14" spans="2:8" x14ac:dyDescent="0.3">
      <c r="B14" s="3" t="s">
        <v>9</v>
      </c>
      <c r="C14" s="4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2:8" x14ac:dyDescent="0.3">
      <c r="B15" s="3" t="s">
        <v>7</v>
      </c>
      <c r="C15" s="6">
        <v>0.12630547616092869</v>
      </c>
      <c r="D15" s="7">
        <v>0.12247647094138071</v>
      </c>
      <c r="E15" s="7">
        <v>0.12125632311265484</v>
      </c>
      <c r="F15" s="7">
        <v>0.12628375009511458</v>
      </c>
      <c r="G15" s="7">
        <v>0.11945453970407544</v>
      </c>
      <c r="H15" s="7">
        <v>0.11547305255374485</v>
      </c>
    </row>
    <row r="16" spans="2:8" x14ac:dyDescent="0.3">
      <c r="B16" s="3"/>
      <c r="C16" s="3"/>
      <c r="D16" s="3"/>
      <c r="E16" s="3"/>
      <c r="F16" s="3"/>
      <c r="G16" s="3"/>
      <c r="H16" s="3"/>
    </row>
    <row r="17" spans="2:8" x14ac:dyDescent="0.3">
      <c r="B17" s="3" t="s">
        <v>10</v>
      </c>
      <c r="C17" s="6">
        <v>0.93573060068055569</v>
      </c>
      <c r="D17" s="7">
        <v>0.91317723946516827</v>
      </c>
      <c r="E17" s="7">
        <v>1.2424795778472661</v>
      </c>
      <c r="F17" s="7">
        <v>1.2783081660756481</v>
      </c>
      <c r="G17" s="7">
        <v>1.2091362684904712</v>
      </c>
      <c r="H17" s="7">
        <v>1.2502323039808898</v>
      </c>
    </row>
    <row r="18" spans="2:8" x14ac:dyDescent="0.3">
      <c r="B18" s="3"/>
      <c r="C18" s="3"/>
      <c r="D18" s="3"/>
      <c r="E18" s="3"/>
      <c r="F18" s="3"/>
      <c r="G18" s="3"/>
      <c r="H18" s="3"/>
    </row>
    <row r="19" spans="2:8" x14ac:dyDescent="0.3">
      <c r="B19" s="3" t="s">
        <v>11</v>
      </c>
      <c r="C19" s="4">
        <v>8054.7770859232696</v>
      </c>
      <c r="D19" s="5">
        <v>2552.6839211991951</v>
      </c>
      <c r="E19" s="5">
        <v>-7600.4432411762737</v>
      </c>
      <c r="F19" s="5">
        <v>-8525.2379365813395</v>
      </c>
      <c r="G19" s="5">
        <v>-7011.4575105153544</v>
      </c>
      <c r="H19" s="5">
        <v>-8940.099821629934</v>
      </c>
    </row>
    <row r="20" spans="2:8" x14ac:dyDescent="0.3">
      <c r="B20" s="3" t="s">
        <v>7</v>
      </c>
      <c r="C20" s="6">
        <v>6.4269399319444281E-2</v>
      </c>
      <c r="D20" s="7">
        <v>8.6822760534831789E-2</v>
      </c>
      <c r="E20" s="7">
        <v>-0.24247957784726606</v>
      </c>
      <c r="F20" s="7">
        <v>-0.27830816607564818</v>
      </c>
      <c r="G20" s="7">
        <v>-0.20913626849047129</v>
      </c>
      <c r="H20" s="7">
        <v>-0.2502323039808898</v>
      </c>
    </row>
    <row r="21" spans="2:8" x14ac:dyDescent="0.3">
      <c r="B21" s="3"/>
      <c r="C21" s="3"/>
      <c r="D21" s="3"/>
      <c r="E21" s="3"/>
      <c r="F21" s="3"/>
      <c r="G21" s="3"/>
      <c r="H21" s="3"/>
    </row>
    <row r="22" spans="2:8" x14ac:dyDescent="0.3">
      <c r="B22" s="3" t="s">
        <v>12</v>
      </c>
      <c r="C22" s="4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3">
      <c r="B23" s="3"/>
      <c r="C23" s="3"/>
      <c r="D23" s="3"/>
      <c r="E23" s="3"/>
      <c r="F23" s="3"/>
      <c r="G23" s="3"/>
      <c r="H23" s="3"/>
    </row>
    <row r="24" spans="2:8" x14ac:dyDescent="0.3">
      <c r="B24" s="3" t="s">
        <v>13</v>
      </c>
      <c r="C24" s="4">
        <v>5015.5571461484387</v>
      </c>
      <c r="D24" s="5">
        <v>2230.285903958455</v>
      </c>
      <c r="E24" s="5">
        <v>2183.460490347466</v>
      </c>
      <c r="F24" s="5">
        <v>3374.0650261099045</v>
      </c>
      <c r="G24" s="5">
        <v>3650.0959276646249</v>
      </c>
      <c r="H24" s="5">
        <v>3492.403936525624</v>
      </c>
    </row>
    <row r="25" spans="2:8" x14ac:dyDescent="0.3">
      <c r="B25" s="3"/>
      <c r="D25" s="3"/>
      <c r="E25" s="3"/>
      <c r="F25" s="3"/>
      <c r="G25" s="3"/>
      <c r="H25" s="3"/>
    </row>
    <row r="26" spans="2:8" x14ac:dyDescent="0.3">
      <c r="B26" s="3" t="s">
        <v>14</v>
      </c>
      <c r="C26" s="4">
        <v>13070.334232071722</v>
      </c>
      <c r="D26" s="5">
        <v>4782.969825157651</v>
      </c>
      <c r="E26" s="5">
        <v>-5416.9827508288063</v>
      </c>
      <c r="F26" s="5">
        <v>-5151.1729104714286</v>
      </c>
      <c r="G26" s="5">
        <v>-3361.361582850725</v>
      </c>
      <c r="H26" s="5">
        <v>-5447.6958851043082</v>
      </c>
    </row>
    <row r="27" spans="2:8" x14ac:dyDescent="0.3">
      <c r="B27" s="3"/>
      <c r="C27" s="3"/>
      <c r="D27" s="3"/>
      <c r="E27" s="3"/>
      <c r="F27" s="3"/>
      <c r="G27" s="3"/>
      <c r="H27" s="3"/>
    </row>
    <row r="28" spans="2:8" x14ac:dyDescent="0.3">
      <c r="B28" s="3" t="s">
        <v>15</v>
      </c>
      <c r="C28" s="7">
        <v>0.89571126288924063</v>
      </c>
      <c r="D28" s="7">
        <v>0.83731999080406949</v>
      </c>
      <c r="E28" s="7">
        <v>1.1728198802289336</v>
      </c>
      <c r="F28" s="7">
        <v>1.1681611113398145</v>
      </c>
      <c r="G28" s="7">
        <v>1.1002619808264311</v>
      </c>
      <c r="H28" s="7">
        <v>1.1524803436107867</v>
      </c>
    </row>
    <row r="29" spans="2:8" x14ac:dyDescent="0.3">
      <c r="B29" s="8"/>
      <c r="C29" s="8"/>
      <c r="D29" s="8"/>
      <c r="E29" s="8"/>
      <c r="F29" s="8"/>
      <c r="G29" s="8"/>
      <c r="H29" s="8"/>
    </row>
    <row r="33" spans="2:8" x14ac:dyDescent="0.3">
      <c r="B33" t="s">
        <v>16</v>
      </c>
    </row>
    <row r="35" spans="2:8" x14ac:dyDescent="0.3">
      <c r="C35" s="1" t="s">
        <v>2</v>
      </c>
      <c r="D35" s="9">
        <v>46387</v>
      </c>
      <c r="E35" s="9">
        <v>46752</v>
      </c>
      <c r="F35" s="9">
        <v>47118</v>
      </c>
      <c r="G35" s="9">
        <v>47483</v>
      </c>
      <c r="H35" s="9">
        <v>47848</v>
      </c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3" t="s">
        <v>17</v>
      </c>
      <c r="C37" s="4">
        <v>70087.436814154062</v>
      </c>
      <c r="D37" s="5">
        <v>83148.920355292372</v>
      </c>
      <c r="E37" s="5">
        <v>92361.609677566259</v>
      </c>
      <c r="F37" s="5">
        <v>98785.374696046958</v>
      </c>
      <c r="G37" s="5">
        <v>105116.90457425395</v>
      </c>
      <c r="H37" s="5">
        <v>111341.04220099417</v>
      </c>
    </row>
    <row r="38" spans="2:8" x14ac:dyDescent="0.3">
      <c r="B38" s="3" t="s">
        <v>18</v>
      </c>
      <c r="C38" s="4">
        <v>65850.777612178033</v>
      </c>
      <c r="D38" s="5">
        <v>78738.756639911939</v>
      </c>
      <c r="E38" s="5">
        <v>87659.908625882032</v>
      </c>
      <c r="F38" s="5">
        <v>94190.519616805032</v>
      </c>
      <c r="G38" s="5">
        <v>100088.03686915179</v>
      </c>
      <c r="H38" s="5">
        <v>105981.96205062755</v>
      </c>
    </row>
    <row r="39" spans="2:8" x14ac:dyDescent="0.3">
      <c r="B39" s="3" t="s">
        <v>19</v>
      </c>
      <c r="C39" s="4">
        <v>4236.6592019760301</v>
      </c>
      <c r="D39" s="5">
        <v>4410.1637153804313</v>
      </c>
      <c r="E39" s="5">
        <v>4701.7010516842383</v>
      </c>
      <c r="F39" s="5">
        <v>4594.8550792419383</v>
      </c>
      <c r="G39" s="5">
        <v>5028.8677051021486</v>
      </c>
      <c r="H39" s="5">
        <v>5359.0801503666098</v>
      </c>
    </row>
    <row r="40" spans="2:8" x14ac:dyDescent="0.3">
      <c r="B40" s="8"/>
      <c r="C40" s="8"/>
      <c r="D40" s="8"/>
      <c r="E40" s="8"/>
      <c r="F40" s="8"/>
      <c r="G40" s="8"/>
      <c r="H40" s="8"/>
    </row>
    <row r="41" spans="2:8" x14ac:dyDescent="0.3">
      <c r="B41" s="3" t="s">
        <v>20</v>
      </c>
      <c r="C41" s="4">
        <v>54017.102582082356</v>
      </c>
      <c r="D41" s="5">
        <v>62295.616298062996</v>
      </c>
      <c r="E41" s="5">
        <v>76925.28837116569</v>
      </c>
      <c r="F41" s="5">
        <v>88500.226300117851</v>
      </c>
      <c r="G41" s="5">
        <v>98193.117761175628</v>
      </c>
      <c r="H41" s="5">
        <v>109864.95127302007</v>
      </c>
    </row>
    <row r="42" spans="2:8" x14ac:dyDescent="0.3">
      <c r="B42" s="3" t="s">
        <v>21</v>
      </c>
      <c r="C42" s="4">
        <v>46609.991502458412</v>
      </c>
      <c r="D42" s="5">
        <v>53797.074184170931</v>
      </c>
      <c r="E42" s="5">
        <v>65960.332611966893</v>
      </c>
      <c r="F42" s="5">
        <v>76445.758823907745</v>
      </c>
      <c r="G42" s="5">
        <v>85438.998718374452</v>
      </c>
      <c r="H42" s="5">
        <v>95177.039870047243</v>
      </c>
    </row>
    <row r="43" spans="2:8" x14ac:dyDescent="0.3">
      <c r="B43" s="3" t="s">
        <v>22</v>
      </c>
      <c r="C43" s="4">
        <v>7407.1110796239436</v>
      </c>
      <c r="D43" s="5">
        <v>8498.5421138920665</v>
      </c>
      <c r="E43" s="5">
        <v>10964.955759198845</v>
      </c>
      <c r="F43" s="5">
        <v>12054.467476210109</v>
      </c>
      <c r="G43" s="5">
        <v>12754.119042801114</v>
      </c>
      <c r="H43" s="5">
        <v>14687.911402972824</v>
      </c>
    </row>
    <row r="44" spans="2:8" x14ac:dyDescent="0.3">
      <c r="B44" s="3" t="s">
        <v>23</v>
      </c>
      <c r="C44" s="4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3">
      <c r="B45" s="8"/>
      <c r="C45" s="8"/>
      <c r="D45" s="8"/>
      <c r="E45" s="8"/>
      <c r="F45" s="8"/>
      <c r="G45" s="8"/>
      <c r="H45" s="8"/>
    </row>
    <row r="46" spans="2:8" x14ac:dyDescent="0.3">
      <c r="B46" s="3" t="s">
        <v>24</v>
      </c>
      <c r="C46" s="5">
        <v>16070.334232071706</v>
      </c>
      <c r="D46" s="5">
        <v>20853.304057229368</v>
      </c>
      <c r="E46" s="5">
        <v>15436.32130640057</v>
      </c>
      <c r="F46" s="5">
        <v>10285.148395929129</v>
      </c>
      <c r="G46" s="5">
        <v>6923.7868130784027</v>
      </c>
      <c r="H46" s="5">
        <v>1476.0909279740881</v>
      </c>
    </row>
    <row r="47" spans="2:8" x14ac:dyDescent="0.3">
      <c r="B47" s="3" t="s">
        <v>25</v>
      </c>
      <c r="C47" s="5">
        <v>3000</v>
      </c>
      <c r="D47" s="5">
        <v>3000</v>
      </c>
      <c r="E47" s="5">
        <v>3000</v>
      </c>
      <c r="F47" s="5">
        <v>3000</v>
      </c>
      <c r="G47" s="5">
        <v>3000</v>
      </c>
      <c r="H47" s="5">
        <v>3000</v>
      </c>
    </row>
    <row r="48" spans="2:8" x14ac:dyDescent="0.3">
      <c r="B48" s="3" t="s">
        <v>26</v>
      </c>
      <c r="C48" s="5">
        <v>13070.334232071706</v>
      </c>
      <c r="D48" s="5">
        <v>17853.304057229368</v>
      </c>
      <c r="E48" s="5">
        <v>12436.32130640057</v>
      </c>
      <c r="F48" s="5">
        <v>7285.1483959291299</v>
      </c>
      <c r="G48" s="5">
        <v>3923.7868130784027</v>
      </c>
      <c r="H48" s="5">
        <v>-1523.9090720259119</v>
      </c>
    </row>
    <row r="49" spans="2:8" x14ac:dyDescent="0.3">
      <c r="B49" s="8"/>
      <c r="C49" s="8"/>
      <c r="D49" s="8"/>
      <c r="E49" s="8"/>
      <c r="F49" s="8"/>
      <c r="G49" s="8"/>
      <c r="H49" s="8"/>
    </row>
    <row r="50" spans="2:8" x14ac:dyDescent="0.3">
      <c r="B50" s="3" t="s">
        <v>27</v>
      </c>
      <c r="C50" s="10">
        <v>1.7575486777040776</v>
      </c>
      <c r="D50" s="10">
        <v>1.4099008653584011</v>
      </c>
      <c r="E50" s="10">
        <v>2.0305792459047907</v>
      </c>
      <c r="F50" s="10">
        <v>2.9783106685238079</v>
      </c>
      <c r="G50" s="10">
        <v>4.8421168366064995</v>
      </c>
      <c r="H50" s="10">
        <v>24.203929666771337</v>
      </c>
    </row>
    <row r="51" spans="2:8" x14ac:dyDescent="0.3">
      <c r="B51" s="8" t="s">
        <v>28</v>
      </c>
      <c r="C51" s="11">
        <v>3.361293038590321</v>
      </c>
      <c r="D51" s="11">
        <v>2.9873259473462919</v>
      </c>
      <c r="E51" s="11">
        <v>4.9833951266140817</v>
      </c>
      <c r="F51" s="11">
        <v>8.6046620712975148</v>
      </c>
      <c r="G51" s="11">
        <v>14.181996126122442</v>
      </c>
      <c r="H51" s="11">
        <v>74.429663641255488</v>
      </c>
    </row>
    <row r="54" spans="2:8" x14ac:dyDescent="0.3">
      <c r="B54" t="s">
        <v>29</v>
      </c>
    </row>
    <row r="56" spans="2:8" x14ac:dyDescent="0.3">
      <c r="B56" t="s">
        <v>1</v>
      </c>
      <c r="C56" s="1" t="s">
        <v>2</v>
      </c>
      <c r="D56" s="1">
        <v>2026</v>
      </c>
      <c r="E56" s="1">
        <v>2027</v>
      </c>
      <c r="F56" s="1">
        <v>2028</v>
      </c>
      <c r="G56" s="1">
        <v>2029</v>
      </c>
      <c r="H56" s="1">
        <v>2030</v>
      </c>
    </row>
    <row r="57" spans="2:8" x14ac:dyDescent="0.3">
      <c r="B57" s="2"/>
      <c r="C57" s="2"/>
      <c r="D57" s="2"/>
      <c r="E57" s="2"/>
      <c r="F57" s="2"/>
      <c r="G57" s="2"/>
      <c r="H57" s="2"/>
    </row>
    <row r="58" spans="2:8" x14ac:dyDescent="0.3">
      <c r="B58" s="3" t="s">
        <v>30</v>
      </c>
      <c r="C58" s="12">
        <v>898.15</v>
      </c>
      <c r="D58" s="13">
        <v>916.11</v>
      </c>
      <c r="E58" s="13">
        <v>934.44</v>
      </c>
      <c r="F58" s="13">
        <v>934.44</v>
      </c>
      <c r="G58" s="13">
        <v>934.44</v>
      </c>
      <c r="H58" s="13">
        <v>934.44</v>
      </c>
    </row>
    <row r="59" spans="2:8" x14ac:dyDescent="0.3">
      <c r="B59" s="3" t="s">
        <v>31</v>
      </c>
      <c r="C59" s="6">
        <v>1.999909146659995E-2</v>
      </c>
      <c r="D59" s="7">
        <v>1.9996659800701533E-2</v>
      </c>
      <c r="E59" s="7">
        <v>2.0008514261387944E-2</v>
      </c>
      <c r="F59" s="7">
        <v>0</v>
      </c>
      <c r="G59" s="7">
        <v>0</v>
      </c>
      <c r="H59" s="7">
        <v>0</v>
      </c>
    </row>
    <row r="60" spans="2:8" x14ac:dyDescent="0.3">
      <c r="B60" s="3"/>
      <c r="D60" s="3"/>
      <c r="E60" s="3"/>
      <c r="F60" s="3"/>
      <c r="G60" s="3"/>
      <c r="H60" s="3"/>
    </row>
    <row r="61" spans="2:8" x14ac:dyDescent="0.3">
      <c r="B61" s="3" t="s">
        <v>32</v>
      </c>
      <c r="C61" s="12">
        <v>68.398239125679765</v>
      </c>
      <c r="D61" s="13">
        <v>17.963002235294198</v>
      </c>
      <c r="E61" s="13">
        <v>36.644524560000001</v>
      </c>
      <c r="F61" s="13">
        <v>0</v>
      </c>
      <c r="G61" s="13">
        <v>0</v>
      </c>
      <c r="H61" s="13">
        <v>0</v>
      </c>
    </row>
    <row r="62" spans="2:8" x14ac:dyDescent="0.3">
      <c r="B62" s="3" t="s">
        <v>33</v>
      </c>
      <c r="C62" s="12">
        <v>4249.6638289230168</v>
      </c>
      <c r="D62" s="13">
        <v>898.1501117647058</v>
      </c>
      <c r="E62" s="13">
        <v>897.79085171999998</v>
      </c>
      <c r="F62" s="13">
        <v>934.43537628000001</v>
      </c>
      <c r="G62" s="13">
        <v>934.43537628000001</v>
      </c>
      <c r="H62" s="13">
        <v>934.43537628000001</v>
      </c>
    </row>
    <row r="63" spans="2:8" x14ac:dyDescent="0.3">
      <c r="B63" s="3" t="s">
        <v>34</v>
      </c>
      <c r="C63" s="6">
        <v>1.0000005720279164</v>
      </c>
      <c r="D63" s="7">
        <v>1.0000001244387973</v>
      </c>
      <c r="E63" s="7">
        <v>0.98000333117202076</v>
      </c>
      <c r="F63" s="7">
        <v>0.99999505188134064</v>
      </c>
      <c r="G63" s="7">
        <v>0.99999505188134064</v>
      </c>
      <c r="H63" s="7">
        <v>0.99999505188134064</v>
      </c>
    </row>
    <row r="64" spans="2:8" x14ac:dyDescent="0.3">
      <c r="B64" s="3"/>
      <c r="D64" s="3"/>
      <c r="E64" s="3"/>
      <c r="F64" s="3"/>
      <c r="G64" s="3"/>
      <c r="H64" s="3"/>
    </row>
    <row r="65" spans="2:9" x14ac:dyDescent="0.3">
      <c r="B65" s="3" t="s">
        <v>35</v>
      </c>
      <c r="C65" s="14">
        <v>3.1447298519336564</v>
      </c>
      <c r="D65" s="15">
        <v>3.2093298290967973</v>
      </c>
      <c r="E65" s="15">
        <v>3.3543971550690319</v>
      </c>
      <c r="F65" s="15">
        <v>3.2781686109631387</v>
      </c>
      <c r="G65" s="15">
        <v>3.5878120147963144</v>
      </c>
      <c r="H65" s="15">
        <v>3.8233998743363653</v>
      </c>
    </row>
    <row r="66" spans="2:9" x14ac:dyDescent="0.3">
      <c r="B66" s="8" t="s">
        <v>36</v>
      </c>
      <c r="C66" s="16">
        <v>4.923648358232624E-2</v>
      </c>
      <c r="D66" s="16">
        <v>2.0542297814045707E-2</v>
      </c>
      <c r="E66" s="16">
        <v>4.5201750426836274E-2</v>
      </c>
      <c r="F66" s="16">
        <v>-2.2724960874325739E-2</v>
      </c>
      <c r="G66" s="16">
        <v>9.4456216436713758E-2</v>
      </c>
      <c r="H66" s="16">
        <v>6.5663378841610109E-2</v>
      </c>
    </row>
    <row r="70" spans="2:9" x14ac:dyDescent="0.3">
      <c r="B70" t="s">
        <v>37</v>
      </c>
    </row>
    <row r="72" spans="2:9" x14ac:dyDescent="0.3">
      <c r="B72" t="s">
        <v>1</v>
      </c>
      <c r="C72" s="1" t="s">
        <v>2</v>
      </c>
      <c r="D72" s="1">
        <v>2026</v>
      </c>
      <c r="E72" s="1">
        <v>2027</v>
      </c>
      <c r="F72" s="1">
        <v>2028</v>
      </c>
      <c r="G72" s="1">
        <v>2029</v>
      </c>
      <c r="H72" s="1">
        <v>2030</v>
      </c>
      <c r="I72" s="18" t="s">
        <v>58</v>
      </c>
    </row>
    <row r="73" spans="2:9" x14ac:dyDescent="0.3">
      <c r="B73" s="2" t="s">
        <v>38</v>
      </c>
      <c r="C73" s="17">
        <v>125328.3393219197</v>
      </c>
      <c r="D73" s="17">
        <v>29401.091435869545</v>
      </c>
      <c r="E73" s="17">
        <v>31344.673677894923</v>
      </c>
      <c r="F73" s="17">
        <v>30632.367194946255</v>
      </c>
      <c r="G73" s="17">
        <v>33525.784700680997</v>
      </c>
      <c r="H73" s="17">
        <v>35727.201002444068</v>
      </c>
      <c r="I73" s="5">
        <f>SUM(C73:H73)</f>
        <v>285959.45733375545</v>
      </c>
    </row>
    <row r="74" spans="2:9" x14ac:dyDescent="0.3">
      <c r="B74" s="3"/>
      <c r="D74" s="3"/>
      <c r="E74" s="3"/>
      <c r="F74" s="3"/>
      <c r="G74" s="3"/>
      <c r="H74" s="3"/>
      <c r="I74" s="3"/>
    </row>
    <row r="75" spans="2:9" x14ac:dyDescent="0.3">
      <c r="B75" s="3" t="s">
        <v>39</v>
      </c>
      <c r="D75" s="3"/>
      <c r="E75" s="3"/>
      <c r="F75" s="3"/>
      <c r="G75" s="3"/>
      <c r="H75" s="3"/>
      <c r="I75" s="3"/>
    </row>
    <row r="76" spans="2:9" x14ac:dyDescent="0.3">
      <c r="B76" s="3" t="s">
        <v>40</v>
      </c>
      <c r="C76" s="4">
        <v>5705.2018775616143</v>
      </c>
      <c r="D76" s="5">
        <v>2317.1788273723796</v>
      </c>
      <c r="E76" s="5">
        <v>3721.7403361131696</v>
      </c>
      <c r="F76" s="5">
        <v>5075.2662966413909</v>
      </c>
      <c r="G76" s="5">
        <v>6964.8447537694565</v>
      </c>
      <c r="H76" s="5">
        <v>0</v>
      </c>
      <c r="I76" s="5">
        <f>SUM(C76:H76)</f>
        <v>23784.232091458009</v>
      </c>
    </row>
    <row r="77" spans="2:9" x14ac:dyDescent="0.3">
      <c r="B77" s="3" t="s">
        <v>41</v>
      </c>
      <c r="C77" s="4">
        <v>-3719.4973403378258</v>
      </c>
      <c r="D77" s="5">
        <v>-1745.4187540251339</v>
      </c>
      <c r="E77" s="5">
        <v>-3072.2303969320014</v>
      </c>
      <c r="F77" s="5">
        <v>-4130.5760978168864</v>
      </c>
      <c r="G77" s="5">
        <v>-5881.433698051188</v>
      </c>
      <c r="H77" s="5">
        <v>0</v>
      </c>
      <c r="I77" s="5">
        <f>SUM(C77:H77)</f>
        <v>-18549.156287163034</v>
      </c>
    </row>
    <row r="78" spans="2:9" x14ac:dyDescent="0.3">
      <c r="B78" s="3" t="s">
        <v>42</v>
      </c>
      <c r="C78" s="4">
        <v>1985.7045372237881</v>
      </c>
      <c r="D78" s="5">
        <v>571.76007334724557</v>
      </c>
      <c r="E78" s="5">
        <v>649.50993918116853</v>
      </c>
      <c r="F78" s="5">
        <v>944.69019882450436</v>
      </c>
      <c r="G78" s="5">
        <v>1083.4110557182682</v>
      </c>
      <c r="H78" s="5">
        <v>0</v>
      </c>
      <c r="I78" s="5">
        <f>SUM(C78:H78)</f>
        <v>5235.0758042949747</v>
      </c>
    </row>
    <row r="79" spans="2:9" x14ac:dyDescent="0.3">
      <c r="B79" s="3"/>
      <c r="D79" s="3"/>
      <c r="E79" s="3"/>
      <c r="F79" s="3"/>
      <c r="G79" s="3"/>
      <c r="H79" s="3"/>
      <c r="I79" s="3"/>
    </row>
    <row r="80" spans="2:9" x14ac:dyDescent="0.3">
      <c r="B80" s="3" t="s">
        <v>43</v>
      </c>
      <c r="D80" s="3"/>
      <c r="E80" s="3"/>
      <c r="F80" s="3"/>
      <c r="G80" s="3"/>
      <c r="H80" s="3"/>
      <c r="I80" s="3"/>
    </row>
    <row r="81" spans="2:9" x14ac:dyDescent="0.3">
      <c r="B81" s="3" t="s">
        <v>40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  <c r="H81" s="5">
        <v>5085.7062618182572</v>
      </c>
      <c r="I81" s="5">
        <f>SUM(C81:H81)</f>
        <v>5085.7062618182572</v>
      </c>
    </row>
    <row r="82" spans="2:9" x14ac:dyDescent="0.3">
      <c r="B82" s="3" t="s">
        <v>41</v>
      </c>
      <c r="C82" s="4">
        <v>2029.9859701215644</v>
      </c>
      <c r="D82" s="5">
        <v>788.07072861752079</v>
      </c>
      <c r="E82" s="5">
        <v>2133.5170125390728</v>
      </c>
      <c r="F82" s="5">
        <v>3755.1316918899643</v>
      </c>
      <c r="G82" s="5">
        <v>8401.3681521036597</v>
      </c>
      <c r="H82" s="5">
        <v>8389.92295110124</v>
      </c>
      <c r="I82" s="5">
        <f>SUM(C82:H82)</f>
        <v>25497.99650637302</v>
      </c>
    </row>
    <row r="83" spans="2:9" x14ac:dyDescent="0.3">
      <c r="B83" s="3" t="s">
        <v>42</v>
      </c>
      <c r="C83" s="4">
        <v>2029.9859701215644</v>
      </c>
      <c r="D83" s="5">
        <v>788.07072861752079</v>
      </c>
      <c r="E83" s="5">
        <v>2133.5170125390728</v>
      </c>
      <c r="F83" s="5">
        <v>3755.1316918899643</v>
      </c>
      <c r="G83" s="5">
        <v>8401.3681521036597</v>
      </c>
      <c r="H83" s="5">
        <v>13475.629212919495</v>
      </c>
      <c r="I83" s="5">
        <f>SUM(C83:H83)</f>
        <v>30583.702768191277</v>
      </c>
    </row>
    <row r="84" spans="2:9" x14ac:dyDescent="0.3">
      <c r="B84" s="3"/>
      <c r="D84" s="3"/>
      <c r="E84" s="3"/>
      <c r="F84" s="3"/>
      <c r="G84" s="3"/>
      <c r="H84" s="3"/>
      <c r="I84" s="3"/>
    </row>
    <row r="85" spans="2:9" x14ac:dyDescent="0.3">
      <c r="B85" s="3" t="s">
        <v>44</v>
      </c>
      <c r="C85" s="4">
        <v>-1044.7179436650588</v>
      </c>
      <c r="D85" s="5">
        <v>-501.31485421182447</v>
      </c>
      <c r="E85" s="5">
        <v>-1701.5488576415219</v>
      </c>
      <c r="F85" s="5">
        <v>-2940.427444910641</v>
      </c>
      <c r="G85" s="5">
        <v>-6316.1132814865841</v>
      </c>
      <c r="H85" s="5">
        <v>17227.115674550125</v>
      </c>
      <c r="I85" s="5">
        <f>SUM(C85:H85)</f>
        <v>4722.9932926344954</v>
      </c>
    </row>
    <row r="86" spans="2:9" x14ac:dyDescent="0.3">
      <c r="B86" s="3"/>
      <c r="D86" s="3"/>
      <c r="E86" s="3"/>
      <c r="F86" s="3"/>
      <c r="G86" s="3"/>
      <c r="H86" s="3"/>
      <c r="I86" s="3"/>
    </row>
    <row r="87" spans="2:9" x14ac:dyDescent="0.3">
      <c r="B87" s="3" t="s">
        <v>45</v>
      </c>
      <c r="C87" s="4">
        <v>2970.9725636802937</v>
      </c>
      <c r="D87" s="5">
        <v>858.51594775294188</v>
      </c>
      <c r="E87" s="5">
        <v>1081.4780940787196</v>
      </c>
      <c r="F87" s="5">
        <v>1759.3944458038277</v>
      </c>
      <c r="G87" s="5">
        <v>3168.665926335344</v>
      </c>
      <c r="H87" s="5">
        <v>30702.74488746962</v>
      </c>
      <c r="I87" s="5">
        <f>SUM(C87:H87)</f>
        <v>40541.771865120747</v>
      </c>
    </row>
    <row r="88" spans="2:9" x14ac:dyDescent="0.3">
      <c r="B88" s="8"/>
      <c r="C88" s="8"/>
      <c r="D88" s="8"/>
      <c r="E88" s="8"/>
      <c r="F88" s="8"/>
      <c r="G88" s="8"/>
      <c r="H88" s="8"/>
      <c r="I88" s="8"/>
    </row>
    <row r="91" spans="2:9" x14ac:dyDescent="0.3">
      <c r="B91" t="s">
        <v>46</v>
      </c>
    </row>
    <row r="93" spans="2:9" x14ac:dyDescent="0.3">
      <c r="B93" t="s">
        <v>1</v>
      </c>
      <c r="C93" s="1" t="s">
        <v>2</v>
      </c>
      <c r="D93" s="1">
        <v>2026</v>
      </c>
      <c r="E93" s="1">
        <v>2027</v>
      </c>
      <c r="F93" s="1">
        <v>2028</v>
      </c>
      <c r="G93" s="1">
        <v>2029</v>
      </c>
      <c r="H93" s="1">
        <v>2030</v>
      </c>
      <c r="I93" s="18" t="s">
        <v>58</v>
      </c>
    </row>
    <row r="94" spans="2:9" x14ac:dyDescent="0.3">
      <c r="B94" s="2" t="s">
        <v>38</v>
      </c>
      <c r="C94" s="17">
        <v>125328.3393219197</v>
      </c>
      <c r="D94" s="17">
        <v>29401.091435869545</v>
      </c>
      <c r="E94" s="17">
        <v>31344.673677894923</v>
      </c>
      <c r="F94" s="17">
        <v>30632.367194946255</v>
      </c>
      <c r="G94" s="17">
        <v>33525.784700680997</v>
      </c>
      <c r="H94" s="17">
        <v>35727.201002444068</v>
      </c>
      <c r="I94" s="17">
        <f>SUM(C94:H94)</f>
        <v>285959.45733375545</v>
      </c>
    </row>
    <row r="95" spans="2:9" x14ac:dyDescent="0.3">
      <c r="B95" s="3" t="s">
        <v>47</v>
      </c>
      <c r="C95" t="s">
        <v>48</v>
      </c>
      <c r="D95" s="7">
        <v>4.095314377032655E-2</v>
      </c>
      <c r="E95" s="7">
        <v>6.6105785435373043E-2</v>
      </c>
      <c r="F95" s="7">
        <v>-2.2724960874325739E-2</v>
      </c>
      <c r="G95" s="7">
        <v>9.445621643671398E-2</v>
      </c>
      <c r="H95" s="7">
        <v>6.5663378841610109E-2</v>
      </c>
      <c r="I95" s="7"/>
    </row>
    <row r="96" spans="2:9" x14ac:dyDescent="0.3">
      <c r="B96" s="3"/>
      <c r="D96" s="3"/>
      <c r="E96" s="3"/>
      <c r="F96" s="3"/>
      <c r="G96" s="3"/>
      <c r="H96" s="3"/>
      <c r="I96" s="3"/>
    </row>
    <row r="97" spans="2:9" x14ac:dyDescent="0.3">
      <c r="B97" s="3" t="s">
        <v>49</v>
      </c>
      <c r="C97" s="4">
        <v>88695.811628024429</v>
      </c>
      <c r="D97" s="5">
        <v>19811.493754742711</v>
      </c>
      <c r="E97" s="5">
        <v>20633.038541134152</v>
      </c>
      <c r="F97" s="5">
        <v>16637.183909973155</v>
      </c>
      <c r="G97" s="5">
        <v>11471.005750812432</v>
      </c>
      <c r="H97" s="5">
        <v>5085.7062618182572</v>
      </c>
      <c r="I97" s="5">
        <f>SUM(C97:H97)</f>
        <v>162334.23984650517</v>
      </c>
    </row>
    <row r="98" spans="2:9" x14ac:dyDescent="0.3">
      <c r="B98" s="3" t="s">
        <v>50</v>
      </c>
      <c r="C98" s="4">
        <v>17767.651813126369</v>
      </c>
      <c r="D98" s="5">
        <v>6583.6605898514272</v>
      </c>
      <c r="E98" s="5">
        <v>8667.4071213757161</v>
      </c>
      <c r="F98" s="5">
        <v>9854.0537569074859</v>
      </c>
      <c r="G98" s="5">
        <v>10280.639248885871</v>
      </c>
      <c r="H98" s="5">
        <v>8389.92295110124</v>
      </c>
      <c r="I98" s="5">
        <f t="shared" ref="I98:I103" si="0">SUM(C98:H98)</f>
        <v>61543.335481248105</v>
      </c>
    </row>
    <row r="99" spans="2:9" x14ac:dyDescent="0.3">
      <c r="B99" s="3" t="s">
        <v>51</v>
      </c>
      <c r="C99" s="4">
        <v>106463.4634411508</v>
      </c>
      <c r="D99" s="5">
        <v>26395.154344594139</v>
      </c>
      <c r="E99" s="5">
        <v>29300.445662509865</v>
      </c>
      <c r="F99" s="5">
        <v>26491.237666880639</v>
      </c>
      <c r="G99" s="5">
        <v>21751.644999698303</v>
      </c>
      <c r="H99" s="5">
        <v>13475.629212919495</v>
      </c>
      <c r="I99" s="5">
        <f t="shared" si="0"/>
        <v>223877.57532775323</v>
      </c>
    </row>
    <row r="100" spans="2:9" x14ac:dyDescent="0.3">
      <c r="B100" s="3"/>
      <c r="D100" s="3"/>
      <c r="E100" s="3"/>
      <c r="F100" s="3"/>
      <c r="G100" s="3"/>
      <c r="H100" s="3"/>
      <c r="I100" s="3"/>
    </row>
    <row r="101" spans="2:9" x14ac:dyDescent="0.3">
      <c r="B101" s="3" t="s">
        <v>52</v>
      </c>
      <c r="C101" s="4">
        <v>8624.0449008888281</v>
      </c>
      <c r="D101" s="5">
        <v>3280.7409768468669</v>
      </c>
      <c r="E101" s="5">
        <v>4687.1727003868236</v>
      </c>
      <c r="F101" s="5">
        <v>5881.5287986267122</v>
      </c>
      <c r="G101" s="5">
        <v>8621.0127404726154</v>
      </c>
      <c r="H101" s="5">
        <v>17227.115674550125</v>
      </c>
      <c r="I101" s="5">
        <f t="shared" si="0"/>
        <v>48321.615791771968</v>
      </c>
    </row>
    <row r="102" spans="2:9" x14ac:dyDescent="0.3">
      <c r="B102" s="3"/>
      <c r="D102" s="3"/>
      <c r="E102" s="3"/>
      <c r="F102" s="3"/>
      <c r="G102" s="3"/>
      <c r="H102" s="3"/>
      <c r="I102" s="3"/>
    </row>
    <row r="103" spans="2:9" x14ac:dyDescent="0.3">
      <c r="B103" s="3" t="s">
        <v>6</v>
      </c>
      <c r="C103" s="4">
        <v>115087.50834203963</v>
      </c>
      <c r="D103" s="5">
        <v>29675.895321441007</v>
      </c>
      <c r="E103" s="5">
        <v>33987.61836289669</v>
      </c>
      <c r="F103" s="5">
        <v>32372.766465507349</v>
      </c>
      <c r="G103" s="5">
        <v>30372.657740170918</v>
      </c>
      <c r="H103" s="5">
        <v>30702.74488746962</v>
      </c>
      <c r="I103" s="5">
        <f t="shared" si="0"/>
        <v>272199.19111952523</v>
      </c>
    </row>
    <row r="104" spans="2:9" x14ac:dyDescent="0.3">
      <c r="B104" s="3"/>
      <c r="D104" s="3"/>
      <c r="E104" s="3"/>
      <c r="F104" s="3"/>
      <c r="G104" s="3"/>
      <c r="H104" s="3"/>
      <c r="I104" s="3"/>
    </row>
    <row r="105" spans="2:9" x14ac:dyDescent="0.3">
      <c r="B105" s="3" t="s">
        <v>53</v>
      </c>
      <c r="C105" s="6">
        <v>0.91828798629833142</v>
      </c>
      <c r="D105" s="7">
        <v>1.0093467239531182</v>
      </c>
      <c r="E105" s="7">
        <v>1.0843187813075124</v>
      </c>
      <c r="F105" s="7">
        <v>1.0568156962694097</v>
      </c>
      <c r="G105" s="7">
        <v>0.90594919735179158</v>
      </c>
      <c r="H105" s="7">
        <v>0.85936608595140918</v>
      </c>
      <c r="I105" s="7"/>
    </row>
    <row r="106" spans="2:9" x14ac:dyDescent="0.3">
      <c r="B106" s="8"/>
      <c r="C106" s="8"/>
      <c r="D106" s="8"/>
      <c r="E106" s="8"/>
      <c r="F106" s="8"/>
      <c r="G106" s="8"/>
      <c r="H106" s="8"/>
      <c r="I106" s="8"/>
    </row>
    <row r="110" spans="2:9" x14ac:dyDescent="0.3">
      <c r="B110" t="s">
        <v>54</v>
      </c>
    </row>
    <row r="112" spans="2:9" x14ac:dyDescent="0.3">
      <c r="B112" t="s">
        <v>55</v>
      </c>
      <c r="C112" s="1" t="s">
        <v>2</v>
      </c>
      <c r="D112" s="1">
        <v>2026</v>
      </c>
      <c r="E112" s="1">
        <v>2027</v>
      </c>
      <c r="F112" s="1">
        <v>2028</v>
      </c>
      <c r="G112" s="1">
        <v>2029</v>
      </c>
      <c r="H112" s="1">
        <v>2030</v>
      </c>
      <c r="I112" s="18" t="s">
        <v>58</v>
      </c>
    </row>
    <row r="113" spans="2:9" x14ac:dyDescent="0.3">
      <c r="B113" s="2" t="s">
        <v>38</v>
      </c>
      <c r="C113" s="17">
        <v>125328.3393219197</v>
      </c>
      <c r="D113" s="17">
        <v>29401.091435869545</v>
      </c>
      <c r="E113" s="17">
        <v>31344.673677894923</v>
      </c>
      <c r="F113" s="17">
        <v>30632.367194946255</v>
      </c>
      <c r="G113" s="17">
        <v>33525.784700680997</v>
      </c>
      <c r="H113" s="17">
        <v>35727.201002444068</v>
      </c>
      <c r="I113" s="5">
        <f t="shared" ref="I113" si="1">SUM(C113:H113)</f>
        <v>285959.45733375545</v>
      </c>
    </row>
    <row r="114" spans="2:9" x14ac:dyDescent="0.3">
      <c r="B114" s="3" t="s">
        <v>47</v>
      </c>
      <c r="C114" t="s">
        <v>48</v>
      </c>
      <c r="D114" s="7">
        <v>4.095314377032655E-2</v>
      </c>
      <c r="E114" s="7">
        <v>6.6105785435373043E-2</v>
      </c>
      <c r="F114" s="7">
        <v>-2.2724960874325739E-2</v>
      </c>
      <c r="G114" s="7">
        <v>9.445621643671398E-2</v>
      </c>
      <c r="H114" s="7">
        <v>6.5663378841610109E-2</v>
      </c>
      <c r="I114" s="7"/>
    </row>
    <row r="115" spans="2:9" x14ac:dyDescent="0.3">
      <c r="B115" s="3"/>
      <c r="D115" s="3"/>
      <c r="E115" s="3"/>
      <c r="F115" s="3"/>
      <c r="G115" s="3"/>
      <c r="H115" s="3"/>
      <c r="I115" s="3"/>
    </row>
    <row r="116" spans="2:9" x14ac:dyDescent="0.3">
      <c r="B116" s="3" t="s">
        <v>49</v>
      </c>
      <c r="C116" s="4">
        <v>88695.811628024429</v>
      </c>
      <c r="D116" s="5">
        <v>19811.493754742711</v>
      </c>
      <c r="E116" s="5">
        <v>20633.038541134152</v>
      </c>
      <c r="F116" s="5">
        <v>16637.183909973155</v>
      </c>
      <c r="G116" s="5">
        <v>11471.005750812432</v>
      </c>
      <c r="H116" s="5">
        <v>5085.7062618182563</v>
      </c>
      <c r="I116" s="5">
        <f t="shared" ref="I116:I118" si="2">SUM(C116:H116)</f>
        <v>162334.23984650517</v>
      </c>
    </row>
    <row r="117" spans="2:9" x14ac:dyDescent="0.3">
      <c r="B117" s="3" t="s">
        <v>50</v>
      </c>
      <c r="C117" s="4">
        <v>17767.651813126369</v>
      </c>
      <c r="D117" s="5">
        <v>6583.6605898514272</v>
      </c>
      <c r="E117" s="5">
        <v>8667.4071213757161</v>
      </c>
      <c r="F117" s="5">
        <v>9854.0537569074859</v>
      </c>
      <c r="G117" s="5">
        <v>10280.639248885871</v>
      </c>
      <c r="H117" s="5">
        <v>8389.92295110124</v>
      </c>
      <c r="I117" s="5">
        <f t="shared" si="2"/>
        <v>61543.335481248105</v>
      </c>
    </row>
    <row r="118" spans="2:9" x14ac:dyDescent="0.3">
      <c r="B118" s="3" t="s">
        <v>51</v>
      </c>
      <c r="C118" s="4">
        <v>106463.4634411508</v>
      </c>
      <c r="D118" s="5">
        <v>26395.154344594139</v>
      </c>
      <c r="E118" s="5">
        <v>29300.445662509865</v>
      </c>
      <c r="F118" s="5">
        <v>26491.237666880643</v>
      </c>
      <c r="G118" s="5">
        <v>21751.644999698303</v>
      </c>
      <c r="H118" s="5">
        <v>13475.629212919495</v>
      </c>
      <c r="I118" s="5">
        <f t="shared" si="2"/>
        <v>223877.57532775326</v>
      </c>
    </row>
    <row r="119" spans="2:9" x14ac:dyDescent="0.3">
      <c r="B119" s="3"/>
      <c r="D119" s="3"/>
      <c r="E119" s="3"/>
      <c r="F119" s="3"/>
      <c r="G119" s="3"/>
      <c r="H119" s="3"/>
      <c r="I119" s="3"/>
    </row>
    <row r="120" spans="2:9" x14ac:dyDescent="0.3">
      <c r="B120" s="3" t="s">
        <v>52</v>
      </c>
      <c r="C120" s="4">
        <v>8624.0449008888281</v>
      </c>
      <c r="D120" s="5">
        <v>3280.7409768468669</v>
      </c>
      <c r="E120" s="5">
        <v>4687.1727003868236</v>
      </c>
      <c r="F120" s="5">
        <v>5881.5287986267122</v>
      </c>
      <c r="G120" s="5">
        <v>8621.0127404726154</v>
      </c>
      <c r="H120" s="5">
        <v>17227.115674550125</v>
      </c>
      <c r="I120" s="5">
        <f t="shared" ref="I120" si="3">SUM(C120:H120)</f>
        <v>48321.615791771968</v>
      </c>
    </row>
    <row r="121" spans="2:9" x14ac:dyDescent="0.3">
      <c r="B121" s="3"/>
      <c r="D121" s="3"/>
      <c r="E121" s="3"/>
      <c r="F121" s="3"/>
      <c r="G121" s="3"/>
      <c r="H121" s="3"/>
      <c r="I121" s="3"/>
    </row>
    <row r="122" spans="2:9" x14ac:dyDescent="0.3">
      <c r="B122" s="3" t="s">
        <v>6</v>
      </c>
      <c r="C122" s="4">
        <v>115087.50834203963</v>
      </c>
      <c r="D122" s="5">
        <v>29675.895321441007</v>
      </c>
      <c r="E122" s="5">
        <v>33987.61836289669</v>
      </c>
      <c r="F122" s="5">
        <v>32372.766465507353</v>
      </c>
      <c r="G122" s="5">
        <v>30372.657740170918</v>
      </c>
      <c r="H122" s="5">
        <v>30702.74488746962</v>
      </c>
      <c r="I122" s="5">
        <f t="shared" ref="I122" si="4">SUM(C122:H122)</f>
        <v>272199.19111952523</v>
      </c>
    </row>
    <row r="123" spans="2:9" x14ac:dyDescent="0.3">
      <c r="B123" s="3"/>
      <c r="D123" s="3"/>
      <c r="E123" s="3"/>
      <c r="F123" s="3"/>
      <c r="G123" s="3"/>
      <c r="H123" s="3"/>
      <c r="I123" s="3"/>
    </row>
    <row r="124" spans="2:9" x14ac:dyDescent="0.3">
      <c r="B124" s="3" t="s">
        <v>53</v>
      </c>
      <c r="C124" s="6">
        <v>0.91828798629833142</v>
      </c>
      <c r="D124" s="7">
        <v>1.0093467239531182</v>
      </c>
      <c r="E124" s="7">
        <v>1.0843187813075124</v>
      </c>
      <c r="F124" s="7">
        <v>1.0568156962694097</v>
      </c>
      <c r="G124" s="7">
        <v>0.90594919735179158</v>
      </c>
      <c r="H124" s="7">
        <v>0.85936608595140918</v>
      </c>
      <c r="I124" s="7"/>
    </row>
    <row r="125" spans="2:9" x14ac:dyDescent="0.3">
      <c r="B125" s="8"/>
      <c r="C125" s="8"/>
      <c r="D125" s="8"/>
      <c r="E125" s="8"/>
      <c r="F125" s="8"/>
      <c r="G125" s="8"/>
      <c r="H125" s="8"/>
      <c r="I125" s="8"/>
    </row>
    <row r="127" spans="2:9" x14ac:dyDescent="0.3">
      <c r="B127" t="s">
        <v>56</v>
      </c>
      <c r="C127" s="1" t="s">
        <v>2</v>
      </c>
      <c r="D127" s="1">
        <v>2026</v>
      </c>
      <c r="E127" s="1">
        <v>2027</v>
      </c>
      <c r="F127" s="1">
        <v>2028</v>
      </c>
      <c r="G127" s="1">
        <v>2029</v>
      </c>
      <c r="H127" s="1">
        <v>2030</v>
      </c>
      <c r="I127" s="18" t="s">
        <v>58</v>
      </c>
    </row>
    <row r="128" spans="2:9" x14ac:dyDescent="0.3">
      <c r="B128" s="2" t="s">
        <v>38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5">
        <f t="shared" ref="I128" si="5">SUM(C128:H128)</f>
        <v>0</v>
      </c>
    </row>
    <row r="129" spans="2:9" x14ac:dyDescent="0.3">
      <c r="B129" s="3" t="s">
        <v>47</v>
      </c>
      <c r="C129" t="s">
        <v>48</v>
      </c>
      <c r="D129" s="3" t="s">
        <v>48</v>
      </c>
      <c r="E129" s="3" t="s">
        <v>48</v>
      </c>
      <c r="F129" s="3" t="s">
        <v>48</v>
      </c>
      <c r="G129" s="3" t="s">
        <v>48</v>
      </c>
      <c r="H129" s="3" t="s">
        <v>48</v>
      </c>
      <c r="I129" s="7"/>
    </row>
    <row r="130" spans="2:9" x14ac:dyDescent="0.3">
      <c r="B130" s="3"/>
      <c r="D130" s="3"/>
      <c r="E130" s="3"/>
      <c r="F130" s="3"/>
      <c r="G130" s="3"/>
      <c r="H130" s="3"/>
      <c r="I130" s="3"/>
    </row>
    <row r="131" spans="2:9" x14ac:dyDescent="0.3">
      <c r="B131" s="3" t="s">
        <v>49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f t="shared" ref="I131:I133" si="6">SUM(C131:H131)</f>
        <v>0</v>
      </c>
    </row>
    <row r="132" spans="2:9" x14ac:dyDescent="0.3">
      <c r="B132" s="3" t="s">
        <v>50</v>
      </c>
      <c r="C132" s="4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f t="shared" si="6"/>
        <v>0</v>
      </c>
    </row>
    <row r="133" spans="2:9" x14ac:dyDescent="0.3">
      <c r="B133" s="3" t="s">
        <v>51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f t="shared" si="6"/>
        <v>0</v>
      </c>
    </row>
    <row r="134" spans="2:9" x14ac:dyDescent="0.3">
      <c r="B134" s="3"/>
      <c r="D134" s="3"/>
      <c r="E134" s="3"/>
      <c r="F134" s="3"/>
      <c r="G134" s="3"/>
      <c r="H134" s="3"/>
      <c r="I134" s="3"/>
    </row>
    <row r="135" spans="2:9" x14ac:dyDescent="0.3">
      <c r="B135" s="3" t="s">
        <v>52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f t="shared" ref="I135" si="7">SUM(C135:H135)</f>
        <v>0</v>
      </c>
    </row>
    <row r="136" spans="2:9" x14ac:dyDescent="0.3">
      <c r="B136" s="3"/>
      <c r="D136" s="3"/>
      <c r="E136" s="3"/>
      <c r="F136" s="3"/>
      <c r="G136" s="3"/>
      <c r="H136" s="3"/>
      <c r="I136" s="3"/>
    </row>
    <row r="137" spans="2:9" x14ac:dyDescent="0.3">
      <c r="B137" s="3" t="s">
        <v>6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f t="shared" ref="I137" si="8">SUM(C137:H137)</f>
        <v>0</v>
      </c>
    </row>
    <row r="138" spans="2:9" x14ac:dyDescent="0.3">
      <c r="B138" s="3"/>
      <c r="D138" s="3"/>
      <c r="E138" s="3"/>
      <c r="F138" s="3"/>
      <c r="G138" s="3"/>
      <c r="H138" s="3"/>
      <c r="I138" s="3"/>
    </row>
    <row r="139" spans="2:9" x14ac:dyDescent="0.3">
      <c r="B139" s="3" t="s">
        <v>53</v>
      </c>
      <c r="C139" t="s">
        <v>48</v>
      </c>
      <c r="D139" s="3" t="s">
        <v>48</v>
      </c>
      <c r="E139" s="3" t="s">
        <v>48</v>
      </c>
      <c r="F139" s="3" t="s">
        <v>48</v>
      </c>
      <c r="G139" s="3" t="s">
        <v>48</v>
      </c>
      <c r="H139" s="3" t="s">
        <v>48</v>
      </c>
      <c r="I139" s="7"/>
    </row>
    <row r="140" spans="2:9" x14ac:dyDescent="0.3">
      <c r="B140" s="8"/>
      <c r="C140" s="8"/>
      <c r="D140" s="8"/>
      <c r="E140" s="8"/>
      <c r="F140" s="8"/>
      <c r="G140" s="8"/>
      <c r="H140" s="8"/>
      <c r="I140" s="8"/>
    </row>
    <row r="142" spans="2:9" x14ac:dyDescent="0.3">
      <c r="B142" t="s">
        <v>57</v>
      </c>
      <c r="C142" s="1" t="s">
        <v>2</v>
      </c>
      <c r="D142" s="1">
        <v>2026</v>
      </c>
      <c r="E142" s="1">
        <v>2027</v>
      </c>
      <c r="F142" s="1">
        <v>2028</v>
      </c>
      <c r="G142" s="1">
        <v>2029</v>
      </c>
      <c r="H142" s="1">
        <v>2030</v>
      </c>
      <c r="I142" s="18" t="s">
        <v>58</v>
      </c>
    </row>
    <row r="143" spans="2:9" x14ac:dyDescent="0.3">
      <c r="B143" s="2" t="s">
        <v>38</v>
      </c>
      <c r="C143" s="17">
        <v>125328.3393219197</v>
      </c>
      <c r="D143" s="17">
        <v>29401.091435869545</v>
      </c>
      <c r="E143" s="17">
        <v>31344.673677894923</v>
      </c>
      <c r="F143" s="17">
        <v>30632.367194946255</v>
      </c>
      <c r="G143" s="17">
        <v>33525.784700680997</v>
      </c>
      <c r="H143" s="17">
        <v>35727.201002444068</v>
      </c>
      <c r="I143" s="5">
        <f t="shared" ref="I143" si="9">SUM(C143:H143)</f>
        <v>285959.45733375545</v>
      </c>
    </row>
    <row r="144" spans="2:9" x14ac:dyDescent="0.3">
      <c r="B144" s="3" t="s">
        <v>47</v>
      </c>
      <c r="C144" t="s">
        <v>48</v>
      </c>
      <c r="D144" s="7">
        <v>4.095314377032655E-2</v>
      </c>
      <c r="E144" s="7">
        <v>6.6105785435373043E-2</v>
      </c>
      <c r="F144" s="7">
        <v>-2.2724960874325739E-2</v>
      </c>
      <c r="G144" s="7">
        <v>9.445621643671398E-2</v>
      </c>
      <c r="H144" s="7">
        <v>6.5663378841610109E-2</v>
      </c>
      <c r="I144" s="7"/>
    </row>
    <row r="145" spans="2:9" x14ac:dyDescent="0.3">
      <c r="B145" s="3"/>
      <c r="D145" s="3"/>
      <c r="E145" s="3"/>
      <c r="F145" s="3"/>
      <c r="G145" s="3"/>
      <c r="H145" s="3"/>
      <c r="I145" s="3"/>
    </row>
    <row r="146" spans="2:9" x14ac:dyDescent="0.3">
      <c r="B146" s="3" t="s">
        <v>49</v>
      </c>
      <c r="C146" s="4">
        <v>88695.811628024429</v>
      </c>
      <c r="D146" s="5">
        <v>19811.493754742711</v>
      </c>
      <c r="E146" s="5">
        <v>20633.038541134152</v>
      </c>
      <c r="F146" s="5">
        <v>16637.183909973155</v>
      </c>
      <c r="G146" s="5">
        <v>11471.005750812432</v>
      </c>
      <c r="H146" s="5">
        <v>5085.7062618182572</v>
      </c>
      <c r="I146" s="5">
        <f t="shared" ref="I146:I148" si="10">SUM(C146:H146)</f>
        <v>162334.23984650517</v>
      </c>
    </row>
    <row r="147" spans="2:9" x14ac:dyDescent="0.3">
      <c r="B147" s="3" t="s">
        <v>50</v>
      </c>
      <c r="C147" s="4">
        <v>17767.651813126369</v>
      </c>
      <c r="D147" s="5">
        <v>6583.6605898514272</v>
      </c>
      <c r="E147" s="5">
        <v>8667.4071213757161</v>
      </c>
      <c r="F147" s="5">
        <v>9854.0537569074859</v>
      </c>
      <c r="G147" s="5">
        <v>10280.639248885871</v>
      </c>
      <c r="H147" s="5">
        <v>8389.92295110124</v>
      </c>
      <c r="I147" s="5">
        <f t="shared" si="10"/>
        <v>61543.335481248105</v>
      </c>
    </row>
    <row r="148" spans="2:9" x14ac:dyDescent="0.3">
      <c r="B148" s="3" t="s">
        <v>51</v>
      </c>
      <c r="C148" s="4">
        <v>106463.4634411508</v>
      </c>
      <c r="D148" s="5">
        <v>26395.154344594139</v>
      </c>
      <c r="E148" s="5">
        <v>29300.445662509865</v>
      </c>
      <c r="F148" s="5">
        <v>26491.237666880639</v>
      </c>
      <c r="G148" s="5">
        <v>21751.644999698303</v>
      </c>
      <c r="H148" s="5">
        <v>13475.629212919495</v>
      </c>
      <c r="I148" s="5">
        <f t="shared" si="10"/>
        <v>223877.57532775323</v>
      </c>
    </row>
    <row r="149" spans="2:9" x14ac:dyDescent="0.3">
      <c r="B149" s="3"/>
      <c r="D149" s="3"/>
      <c r="E149" s="3"/>
      <c r="F149" s="3"/>
      <c r="G149" s="3"/>
      <c r="H149" s="3"/>
      <c r="I149" s="3"/>
    </row>
    <row r="150" spans="2:9" x14ac:dyDescent="0.3">
      <c r="B150" s="3" t="s">
        <v>52</v>
      </c>
      <c r="C150" s="4">
        <v>8624.0449008888281</v>
      </c>
      <c r="D150" s="5">
        <v>3280.7409768468669</v>
      </c>
      <c r="E150" s="5">
        <v>4687.1727003868236</v>
      </c>
      <c r="F150" s="5">
        <v>5881.5287986267122</v>
      </c>
      <c r="G150" s="5">
        <v>8621.0127404726154</v>
      </c>
      <c r="H150" s="5">
        <v>17227.115674550125</v>
      </c>
      <c r="I150" s="5">
        <f t="shared" ref="I150" si="11">SUM(C150:H150)</f>
        <v>48321.615791771968</v>
      </c>
    </row>
    <row r="151" spans="2:9" x14ac:dyDescent="0.3">
      <c r="B151" s="3"/>
      <c r="D151" s="3"/>
      <c r="E151" s="3"/>
      <c r="F151" s="3"/>
      <c r="G151" s="3"/>
      <c r="H151" s="3"/>
      <c r="I151" s="3"/>
    </row>
    <row r="152" spans="2:9" x14ac:dyDescent="0.3">
      <c r="B152" s="3" t="s">
        <v>6</v>
      </c>
      <c r="C152" s="4">
        <v>115087.50834203963</v>
      </c>
      <c r="D152" s="5">
        <v>29675.895321441007</v>
      </c>
      <c r="E152" s="5">
        <v>33987.61836289669</v>
      </c>
      <c r="F152" s="5">
        <v>32372.766465507349</v>
      </c>
      <c r="G152" s="5">
        <v>30372.657740170918</v>
      </c>
      <c r="H152" s="5">
        <v>30702.74488746962</v>
      </c>
      <c r="I152" s="5">
        <f t="shared" ref="I152" si="12">SUM(C152:H152)</f>
        <v>272199.19111952523</v>
      </c>
    </row>
    <row r="153" spans="2:9" x14ac:dyDescent="0.3">
      <c r="B153" s="3"/>
      <c r="D153" s="3"/>
      <c r="E153" s="3"/>
      <c r="F153" s="3"/>
      <c r="G153" s="3"/>
      <c r="H153" s="3"/>
      <c r="I153" s="3"/>
    </row>
    <row r="154" spans="2:9" x14ac:dyDescent="0.3">
      <c r="B154" s="3" t="s">
        <v>53</v>
      </c>
      <c r="C154" s="6">
        <v>0.91828798629833142</v>
      </c>
      <c r="D154" s="7">
        <v>1.0093467239531182</v>
      </c>
      <c r="E154" s="7">
        <v>1.0843187813075124</v>
      </c>
      <c r="F154" s="7">
        <v>1.0568156962694097</v>
      </c>
      <c r="G154" s="7">
        <v>0.90594919735179158</v>
      </c>
      <c r="H154" s="7">
        <v>0.85936608595140918</v>
      </c>
      <c r="I154" s="7"/>
    </row>
    <row r="155" spans="2:9" x14ac:dyDescent="0.3">
      <c r="B155" s="8"/>
      <c r="C155" s="8"/>
      <c r="D155" s="8"/>
      <c r="E155" s="8"/>
      <c r="F155" s="8"/>
      <c r="G155" s="8"/>
      <c r="H155" s="8"/>
      <c r="I155" s="8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2026-10-27T16:42:05Z</dcterms:created>
  <dcterms:modified xsi:type="dcterms:W3CDTF">2026-10-27T16:56:08Z</dcterms:modified>
  <cp:category/>
</cp:coreProperties>
</file>